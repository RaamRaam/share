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📌 Entry &amp; Exit Criteria" sheetId="2" state="visible" r:id="rId4"/>
    <sheet name="📋 ST Results" sheetId="3" state="visible" r:id="rId5"/>
    <sheet name="📋 SIT Results" sheetId="4" state="visible" r:id="rId6"/>
    <sheet name="🐛 Defect Tracker" sheetId="5" state="visible" r:id="rId7"/>
    <sheet name="🔴 Outstanding Issues" sheetId="6" state="visible" r:id="rId8"/>
    <sheet name="✅ UAT Entry Criteria" sheetId="7" state="visible" r:id="rId9"/>
    <sheet name="📈 Visualizations" sheetId="8" state="visible" r:id="rId10"/>
    <sheet name="📝 Release 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<sst xmlns="http://schemas.openxmlformats.org/spreadsheetml/2006/main" count="1166" uniqueCount="638">
  <si>
    <t xml:space="preserve">OBSERVABILITY PLATFORM  |  TEST CLOSURE REPORT</t>
  </si>
  <si>
    <t xml:space="preserve">Release: v1.0  │  MVP-1 &amp; MVP-2  │  Phases: ST · SIT  │  Go / No-Go Decision</t>
  </si>
  <si>
    <t xml:space="preserve">Prepared by: QA Lead / Test Manager</t>
  </si>
  <si>
    <t xml:space="preserve">Date: [Enter Date]    Version: 1.0</t>
  </si>
  <si>
    <t xml:space="preserve">▶  GO / NO-GO VERDICT:   [ GO ✔ ]   |   IT Testing Closure: COMPLETE   |   Status: READY FOR UAT COMMENCEMENT</t>
  </si>
  <si>
    <t xml:space="preserve">Total Test Cases</t>
  </si>
  <si>
    <t xml:space="preserve">Executed</t>
  </si>
  <si>
    <t xml:space="preserve">Passed</t>
  </si>
  <si>
    <t xml:space="preserve">Failed</t>
  </si>
  <si>
    <t xml:space="preserve">Blocked</t>
  </si>
  <si>
    <t xml:space="preserve">Pass %</t>
  </si>
  <si>
    <t xml:space="preserve">  PHASE-WISE TEST EXECUTION SUMMARY</t>
  </si>
  <si>
    <t xml:space="preserve">Phase</t>
  </si>
  <si>
    <t xml:space="preserve">MVP Scope</t>
  </si>
  <si>
    <t xml:space="preserve">Total TCs</t>
  </si>
  <si>
    <t xml:space="preserve">Not Run</t>
  </si>
  <si>
    <t xml:space="preserve">Defects Raised</t>
  </si>
  <si>
    <t xml:space="preserve">Defects Closed</t>
  </si>
  <si>
    <t xml:space="preserve">Status</t>
  </si>
  <si>
    <t xml:space="preserve">System Testing (ST)</t>
  </si>
  <si>
    <t xml:space="preserve">MVP-1 &amp; MVP-2</t>
  </si>
  <si>
    <t xml:space="preserve">System Integration Testing (SIT)</t>
  </si>
  <si>
    <t xml:space="preserve">TOTAL / COMBINED</t>
  </si>
  <si>
    <t xml:space="preserve">Both MVPs</t>
  </si>
  <si>
    <t xml:space="preserve">—</t>
  </si>
  <si>
    <t xml:space="preserve">  MVP READINESS STATUS</t>
  </si>
  <si>
    <t xml:space="preserve">MVP</t>
  </si>
  <si>
    <t xml:space="preserve">Modules Covered</t>
  </si>
  <si>
    <t xml:space="preserve">Test Coverage %</t>
  </si>
  <si>
    <t xml:space="preserve">Defects (P1/P2)</t>
  </si>
  <si>
    <t xml:space="preserve">Defects (P3/P4)</t>
  </si>
  <si>
    <t xml:space="preserve">Deferred Issues</t>
  </si>
  <si>
    <t xml:space="preserve">UAT Ready</t>
  </si>
  <si>
    <t xml:space="preserve">Recommendation</t>
  </si>
  <si>
    <t xml:space="preserve">MVP-1: Data Ingestion &amp; Pipeline</t>
  </si>
  <si>
    <t xml:space="preserve">Collector, Parser, Storage, API Gateway</t>
  </si>
  <si>
    <t xml:space="preserve">[Enter]</t>
  </si>
  <si>
    <t xml:space="preserve">YES ✔</t>
  </si>
  <si>
    <t xml:space="preserve">GO</t>
  </si>
  <si>
    <t xml:space="preserve">MVP-2: Dashboards &amp; Alerting</t>
  </si>
  <si>
    <t xml:space="preserve">Visualization, Alert Engine, Notification, RBAC</t>
  </si>
  <si>
    <t xml:space="preserve">  QUALITY GATE CHECKLIST  (All criteria must be MET for GO decision)</t>
  </si>
  <si>
    <t xml:space="preserve">#</t>
  </si>
  <si>
    <t xml:space="preserve">Quality Gate Criterion</t>
  </si>
  <si>
    <t xml:space="preserve">Threshold</t>
  </si>
  <si>
    <t xml:space="preserve">Actual</t>
  </si>
  <si>
    <t xml:space="preserve">Owner</t>
  </si>
  <si>
    <t xml:space="preserve">Pass % ≥ 95% across ST + SIT</t>
  </si>
  <si>
    <t xml:space="preserve">≥ 95%</t>
  </si>
  <si>
    <t xml:space="preserve">MET ✔</t>
  </si>
  <si>
    <t xml:space="preserve">QA Lead</t>
  </si>
  <si>
    <t xml:space="preserve">Zero open P1 / Critical defects</t>
  </si>
  <si>
    <t xml:space="preserve">0 open P1</t>
  </si>
  <si>
    <t xml:space="preserve">Dev Lead</t>
  </si>
  <si>
    <t xml:space="preserve">Zero open P2 / Major defects</t>
  </si>
  <si>
    <t xml:space="preserve">0 open P2</t>
  </si>
  <si>
    <t xml:space="preserve">Test execution ≥ 98% of planned TCs</t>
  </si>
  <si>
    <t xml:space="preserve">≥ 98%</t>
  </si>
  <si>
    <t xml:space="preserve">All ST exit criteria signed off</t>
  </si>
  <si>
    <t xml:space="preserve">Yes</t>
  </si>
  <si>
    <t xml:space="preserve">YES</t>
  </si>
  <si>
    <t xml:space="preserve">Test Manager</t>
  </si>
  <si>
    <t xml:space="preserve">All SIT exit criteria signed off</t>
  </si>
  <si>
    <t xml:space="preserve">Regression suite fully executed</t>
  </si>
  <si>
    <t xml:space="preserve">Automation Lead</t>
  </si>
  <si>
    <t xml:space="preserve">Performance benchmarks met</t>
  </si>
  <si>
    <t xml:space="preserve">Latency &lt; 200ms</t>
  </si>
  <si>
    <t xml:space="preserve">Perf Engineer</t>
  </si>
  <si>
    <t xml:space="preserve">Security scans – no High/Critical findings</t>
  </si>
  <si>
    <t xml:space="preserve">0 High/Crit</t>
  </si>
  <si>
    <t xml:space="preserve">SecOps</t>
  </si>
  <si>
    <t xml:space="preserve">All deferred issues have release assignment</t>
  </si>
  <si>
    <t xml:space="preserve">PM</t>
  </si>
  <si>
    <t xml:space="preserve">ENTRY &amp; EXIT CRITERIA  —  ST · SIT PHASES</t>
  </si>
  <si>
    <t xml:space="preserve">All criteria must be verified and signed-off before phase commencement / closure</t>
  </si>
  <si>
    <t xml:space="preserve">  ST — ENTRY CRITERIA</t>
  </si>
  <si>
    <t xml:space="preserve">Criteria ID</t>
  </si>
  <si>
    <t xml:space="preserve">Date Verified</t>
  </si>
  <si>
    <t xml:space="preserve">EC-ST-01</t>
  </si>
  <si>
    <t xml:space="preserve">Test environment (Observability Platform) fully provisioned and stable</t>
  </si>
  <si>
    <t xml:space="preserve">[Enter Date]</t>
  </si>
  <si>
    <t xml:space="preserve">EC-ST-02</t>
  </si>
  <si>
    <t xml:space="preserve">All MVP-1 &amp; MVP-2 code modules deployed to ST environment (build sign-off)</t>
  </si>
  <si>
    <t xml:space="preserve">EC-ST-03</t>
  </si>
  <si>
    <t xml:space="preserve">Test data sets prepared (log streams, metrics, trace data)</t>
  </si>
  <si>
    <t xml:space="preserve">QA Analyst</t>
  </si>
  <si>
    <t xml:space="preserve">EC-ST-04</t>
  </si>
  <si>
    <t xml:space="preserve">ST test cases reviewed, baselined and loaded in test management tool</t>
  </si>
  <si>
    <t xml:space="preserve">Test Lead</t>
  </si>
  <si>
    <t xml:space="preserve">EC-ST-05</t>
  </si>
  <si>
    <t xml:space="preserve">Unit test coverage ≥ 80% confirmed by Dev team</t>
  </si>
  <si>
    <t xml:space="preserve">EC-ST-06</t>
  </si>
  <si>
    <t xml:space="preserve">Known P1/P2 defects from unit testing resolved or waived</t>
  </si>
  <si>
    <t xml:space="preserve">EC-ST-07</t>
  </si>
  <si>
    <t xml:space="preserve">Test infrastructure: agent simulators, mock integrations configured</t>
  </si>
  <si>
    <t xml:space="preserve">DevOps</t>
  </si>
  <si>
    <t xml:space="preserve">EC-ST-08</t>
  </si>
  <si>
    <t xml:space="preserve">Smoke test (sanity suite) passed with ≥ 95% pass rate</t>
  </si>
  <si>
    <t xml:space="preserve">  ST — EXIT CRITERIA</t>
  </si>
  <si>
    <t xml:space="preserve">EX-ST-01</t>
  </si>
  <si>
    <t xml:space="preserve">Test execution ≥ 98% of planned test cases executed</t>
  </si>
  <si>
    <t xml:space="preserve">EX-ST-02</t>
  </si>
  <si>
    <t xml:space="preserve">Overall pass rate ≥ 95%</t>
  </si>
  <si>
    <t xml:space="preserve">EX-ST-03</t>
  </si>
  <si>
    <t xml:space="preserve">Zero open P1 (Critical) defects</t>
  </si>
  <si>
    <t xml:space="preserve">EX-ST-04</t>
  </si>
  <si>
    <t xml:space="preserve">Zero open P2 (Major) defects</t>
  </si>
  <si>
    <t xml:space="preserve">EX-ST-05</t>
  </si>
  <si>
    <t xml:space="preserve">All test execution results documented in test management tool</t>
  </si>
  <si>
    <t xml:space="preserve">EX-ST-06</t>
  </si>
  <si>
    <t xml:space="preserve">Defect triage complete; all defects triaged and assigned</t>
  </si>
  <si>
    <t xml:space="preserve">EX-ST-07</t>
  </si>
  <si>
    <t xml:space="preserve">ST closure report approved by Test Manager</t>
  </si>
  <si>
    <t xml:space="preserve">  SIT — ENTRY CRITERIA</t>
  </si>
  <si>
    <t xml:space="preserve">EC-SIT-01</t>
  </si>
  <si>
    <t xml:space="preserve">ST exit criteria met and ST closure report signed off</t>
  </si>
  <si>
    <t xml:space="preserve">EC-SIT-02</t>
  </si>
  <si>
    <t xml:space="preserve">SIT environment provisioned; all MVP-1 &amp; MVP-2 integrations configured</t>
  </si>
  <si>
    <t xml:space="preserve">EC-SIT-03</t>
  </si>
  <si>
    <t xml:space="preserve">End-to-end integration scenarios reviewed and baselined</t>
  </si>
  <si>
    <t xml:space="preserve">EC-SIT-04</t>
  </si>
  <si>
    <t xml:space="preserve">External system stubs / real connections verified (Kafka, S3, PagerDuty, Slack)</t>
  </si>
  <si>
    <t xml:space="preserve">Arch Lead</t>
  </si>
  <si>
    <t xml:space="preserve">EC-SIT-05</t>
  </si>
  <si>
    <t xml:space="preserve">Data migration scripts (if any) verified in lower environment</t>
  </si>
  <si>
    <t xml:space="preserve">EC-SIT-06</t>
  </si>
  <si>
    <t xml:space="preserve">Performance baseline established from ST phase</t>
  </si>
  <si>
    <t xml:space="preserve">EC-SIT-07</t>
  </si>
  <si>
    <t xml:space="preserve">Security scan tools configured on SIT environment</t>
  </si>
  <si>
    <t xml:space="preserve">  SIT — EXIT CRITERIA</t>
  </si>
  <si>
    <t xml:space="preserve">EX-SIT-01</t>
  </si>
  <si>
    <t xml:space="preserve">All end-to-end integration scenarios executed and passed</t>
  </si>
  <si>
    <t xml:space="preserve">EX-SIT-02</t>
  </si>
  <si>
    <t xml:space="preserve">Cross-MVP data flow validated (ingestion → storage → visualization → alert)</t>
  </si>
  <si>
    <t xml:space="preserve">EX-SIT-03</t>
  </si>
  <si>
    <t xml:space="preserve">Zero open P1/P2 defects</t>
  </si>
  <si>
    <t xml:space="preserve">EX-SIT-04</t>
  </si>
  <si>
    <t xml:space="preserve">Performance test: p95 latency ≤ 200ms; throughput ≥ target</t>
  </si>
  <si>
    <t xml:space="preserve">EX-SIT-05</t>
  </si>
  <si>
    <t xml:space="preserve">Security scan complete; no High/Critical vulnerabilities open</t>
  </si>
  <si>
    <t xml:space="preserve">EX-SIT-06</t>
  </si>
  <si>
    <t xml:space="preserve">UAT environment seeded; UAT test data prepared</t>
  </si>
  <si>
    <t xml:space="preserve">EX-SIT-07</t>
  </si>
  <si>
    <t xml:space="preserve">SIT closure report approved by stakeholders</t>
  </si>
  <si>
    <t xml:space="preserve">EX-SIT-08</t>
  </si>
  <si>
    <t xml:space="preserve">Leadership sign-off obtained for UAT commencement</t>
  </si>
  <si>
    <t xml:space="preserve">Leadership</t>
  </si>
  <si>
    <t xml:space="preserve">SYSTEM TESTING (ST)  —  MODULE-WISE RESULTS</t>
  </si>
  <si>
    <t xml:space="preserve">MODULE / COMPONENT</t>
  </si>
  <si>
    <t xml:space="preserve">Fail %</t>
  </si>
  <si>
    <t xml:space="preserve">PASS</t>
  </si>
  <si>
    <t xml:space="preserve">Coverage %</t>
  </si>
  <si>
    <t xml:space="preserve">  MVP-1:  Data Ingestion &amp; Pipeline</t>
  </si>
  <si>
    <t xml:space="preserve">Log Collector Agent</t>
  </si>
  <si>
    <t xml:space="preserve">WARN</t>
  </si>
  <si>
    <t xml:space="preserve">Metric Scraper Service</t>
  </si>
  <si>
    <t xml:space="preserve">Trace Ingestion Pipeline</t>
  </si>
  <si>
    <t xml:space="preserve">Data Parser &amp; Normalizer</t>
  </si>
  <si>
    <t xml:space="preserve">FAIL</t>
  </si>
  <si>
    <t xml:space="preserve">Storage Layer (TimeSeries DB)</t>
  </si>
  <si>
    <t xml:space="preserve">API Gateway / Query Service</t>
  </si>
  <si>
    <t xml:space="preserve">  MVP-2:  Dashboards &amp; Alerting</t>
  </si>
  <si>
    <t xml:space="preserve">Dashboard Builder</t>
  </si>
  <si>
    <t xml:space="preserve">Alert Rule Engine</t>
  </si>
  <si>
    <t xml:space="preserve">Notification Dispatcher</t>
  </si>
  <si>
    <t xml:space="preserve">RBAC &amp; Auth Module</t>
  </si>
  <si>
    <t xml:space="preserve">Platform Admin Console</t>
  </si>
  <si>
    <t xml:space="preserve">TOTAL</t>
  </si>
  <si>
    <t xml:space="preserve">SUMMARY</t>
  </si>
  <si>
    <t xml:space="preserve">SYSTEM INTEGRATION TESTING (SIT)  —  INTEGRATION SCENARIO RESULTS</t>
  </si>
  <si>
    <t xml:space="preserve">INTEGRATION SCENARIO</t>
  </si>
  <si>
    <t xml:space="preserve">  MVP-1 × MVP-2 End-to-End Integration Scenarios</t>
  </si>
  <si>
    <t xml:space="preserve">Log Ingestion → Storage → Query API</t>
  </si>
  <si>
    <t xml:space="preserve">Metric Collection → TimeSeries → Dashboard</t>
  </si>
  <si>
    <t xml:space="preserve">Trace Pipeline → Visualization</t>
  </si>
  <si>
    <t xml:space="preserve">Alert Rule → Evaluation → Notification Dispatch</t>
  </si>
  <si>
    <t xml:space="preserve">RBAC → Dashboard Access Control</t>
  </si>
  <si>
    <t xml:space="preserve">API Gateway → Multi-tenant Routing</t>
  </si>
  <si>
    <t xml:space="preserve">Cross-MVP: Correlation Engine</t>
  </si>
  <si>
    <t xml:space="preserve">External Integrations (Kafka/S3/PagerDuty)</t>
  </si>
  <si>
    <t xml:space="preserve">Performance Under Load (1K agents)</t>
  </si>
  <si>
    <t xml:space="preserve">Failover &amp; Recovery Scenarios</t>
  </si>
  <si>
    <t xml:space="preserve">DEFECT TRACKER  —  MODULE-LEVEL  |  ST · SIT PHASES</t>
  </si>
  <si>
    <t xml:space="preserve">Defect ID</t>
  </si>
  <si>
    <t xml:space="preserve">Module / Component</t>
  </si>
  <si>
    <t xml:space="preserve">Scenario / TC ID</t>
  </si>
  <si>
    <t xml:space="preserve">Priority</t>
  </si>
  <si>
    <t xml:space="preserve">Severity</t>
  </si>
  <si>
    <t xml:space="preserve">Assigned To</t>
  </si>
  <si>
    <t xml:space="preserve">Description / Summary</t>
  </si>
  <si>
    <t xml:space="preserve">Root Cause</t>
  </si>
  <si>
    <t xml:space="preserve">Resolution</t>
  </si>
  <si>
    <t xml:space="preserve">Target Fix Release</t>
  </si>
  <si>
    <t xml:space="preserve">Found Date</t>
  </si>
  <si>
    <t xml:space="preserve">Closed Date</t>
  </si>
  <si>
    <t xml:space="preserve">Remarks</t>
  </si>
  <si>
    <t xml:space="preserve">  DEFECT SUMMARY</t>
  </si>
  <si>
    <t xml:space="preserve">DEF-001</t>
  </si>
  <si>
    <t xml:space="preserve">ST</t>
  </si>
  <si>
    <t xml:space="preserve">TC-ST-015</t>
  </si>
  <si>
    <t xml:space="preserve">P2</t>
  </si>
  <si>
    <t xml:space="preserve">Major</t>
  </si>
  <si>
    <t xml:space="preserve">Closed</t>
  </si>
  <si>
    <t xml:space="preserve">Dev-A</t>
  </si>
  <si>
    <t xml:space="preserve">Memory leak under 10K log/sec sustained load</t>
  </si>
  <si>
    <t xml:space="preserve">Resource mgmt bug</t>
  </si>
  <si>
    <t xml:space="preserve">Fixed – GC tuning applied</t>
  </si>
  <si>
    <t xml:space="preserve">v1.0</t>
  </si>
  <si>
    <t xml:space="preserve">[Date]</t>
  </si>
  <si>
    <t xml:space="preserve">Verified in regression</t>
  </si>
  <si>
    <t xml:space="preserve">Metric</t>
  </si>
  <si>
    <t xml:space="preserve">Count</t>
  </si>
  <si>
    <t xml:space="preserve">DEF-002</t>
  </si>
  <si>
    <t xml:space="preserve">TC-ST-028</t>
  </si>
  <si>
    <t xml:space="preserve">Dev-B</t>
  </si>
  <si>
    <t xml:space="preserve">Scrape interval drift when &gt;500 targets</t>
  </si>
  <si>
    <t xml:space="preserve">Timer precision issue</t>
  </si>
  <si>
    <t xml:space="preserve">Fixed – scheduler refactored</t>
  </si>
  <si>
    <t xml:space="preserve">Total Defects Raised</t>
  </si>
  <si>
    <t xml:space="preserve">DEF-003</t>
  </si>
  <si>
    <t xml:space="preserve">TC-ST-042</t>
  </si>
  <si>
    <t xml:space="preserve">P3</t>
  </si>
  <si>
    <t xml:space="preserve">Minor</t>
  </si>
  <si>
    <t xml:space="preserve">Dev-C</t>
  </si>
  <si>
    <t xml:space="preserve">Malformed JSON log not producing error event</t>
  </si>
  <si>
    <t xml:space="preserve">Edge case handling</t>
  </si>
  <si>
    <t xml:space="preserve">Fixed – added schema validation</t>
  </si>
  <si>
    <t xml:space="preserve">P1 – Critical</t>
  </si>
  <si>
    <t xml:space="preserve">DEF-004</t>
  </si>
  <si>
    <t xml:space="preserve">Storage Layer</t>
  </si>
  <si>
    <t xml:space="preserve">TC-ST-056</t>
  </si>
  <si>
    <t xml:space="preserve">Dev-D</t>
  </si>
  <si>
    <t xml:space="preserve">Query latency spike at 95th percentile &gt; 500ms</t>
  </si>
  <si>
    <t xml:space="preserve">Missing index on tenant_id + timestamp</t>
  </si>
  <si>
    <t xml:space="preserve">Fixed – composite index added</t>
  </si>
  <si>
    <t xml:space="preserve">P2 – Major</t>
  </si>
  <si>
    <t xml:space="preserve">DEF-005</t>
  </si>
  <si>
    <t xml:space="preserve">API Gateway</t>
  </si>
  <si>
    <t xml:space="preserve">TC-ST-063</t>
  </si>
  <si>
    <t xml:space="preserve">Rate limiting header not returned on 429 response</t>
  </si>
  <si>
    <t xml:space="preserve">Response builder bug</t>
  </si>
  <si>
    <t xml:space="preserve">Fixed</t>
  </si>
  <si>
    <t xml:space="preserve">P3 – Minor</t>
  </si>
  <si>
    <t xml:space="preserve">DEF-006</t>
  </si>
  <si>
    <t xml:space="preserve">TC-ST-078</t>
  </si>
  <si>
    <t xml:space="preserve">Dev-E</t>
  </si>
  <si>
    <t xml:space="preserve">Time range picker resets on panel refresh</t>
  </si>
  <si>
    <t xml:space="preserve">State management bug</t>
  </si>
  <si>
    <t xml:space="preserve">Fixed – Redux state refactored</t>
  </si>
  <si>
    <t xml:space="preserve">P4 – Cosmetic</t>
  </si>
  <si>
    <t xml:space="preserve">DEF-007</t>
  </si>
  <si>
    <t xml:space="preserve">TC-ST-091</t>
  </si>
  <si>
    <t xml:space="preserve">Dev-F</t>
  </si>
  <si>
    <t xml:space="preserve">Duplicate alerts fired on alert rule re-evaluation</t>
  </si>
  <si>
    <t xml:space="preserve">De-duplication logic missing</t>
  </si>
  <si>
    <t xml:space="preserve">Fixed – added fingerprint hash</t>
  </si>
  <si>
    <t xml:space="preserve">Status: Closed</t>
  </si>
  <si>
    <t xml:space="preserve">DEF-008</t>
  </si>
  <si>
    <t xml:space="preserve">TC-ST-102</t>
  </si>
  <si>
    <t xml:space="preserve">Open</t>
  </si>
  <si>
    <t xml:space="preserve">Dev-G</t>
  </si>
  <si>
    <t xml:space="preserve">PagerDuty webhook retry not honoring backoff</t>
  </si>
  <si>
    <t xml:space="preserve">Retry logic issue</t>
  </si>
  <si>
    <t xml:space="preserve">Fix in progress</t>
  </si>
  <si>
    <t xml:space="preserve">v1.1</t>
  </si>
  <si>
    <t xml:space="preserve">Deferred to v1.1</t>
  </si>
  <si>
    <t xml:space="preserve">Status: Open</t>
  </si>
  <si>
    <t xml:space="preserve">DEF-009</t>
  </si>
  <si>
    <t xml:space="preserve">TC-ST-018</t>
  </si>
  <si>
    <t xml:space="preserve">Agent startup delay 8s vs expected 5s</t>
  </si>
  <si>
    <t xml:space="preserve">Dependency init order</t>
  </si>
  <si>
    <t xml:space="preserve">Status: In Progress</t>
  </si>
  <si>
    <t xml:space="preserve">DEF-010</t>
  </si>
  <si>
    <t xml:space="preserve">SIT</t>
  </si>
  <si>
    <t xml:space="preserve">Alert → Notification</t>
  </si>
  <si>
    <t xml:space="preserve">TC-SIT-024</t>
  </si>
  <si>
    <t xml:space="preserve">Alert not dispatched to Slack on resolution event</t>
  </si>
  <si>
    <t xml:space="preserve">Event type filter bug</t>
  </si>
  <si>
    <t xml:space="preserve">Closure Rate %</t>
  </si>
  <si>
    <t xml:space="preserve">DEF-011</t>
  </si>
  <si>
    <t xml:space="preserve">Metric → Dashboard</t>
  </si>
  <si>
    <t xml:space="preserve">TC-SIT-031</t>
  </si>
  <si>
    <t xml:space="preserve">Dashboard not refreshing on metric data lag &gt; 30s</t>
  </si>
  <si>
    <t xml:space="preserve">Polling interval config</t>
  </si>
  <si>
    <t xml:space="preserve">Fixed – reduced polling</t>
  </si>
  <si>
    <t xml:space="preserve">ST Phase Defects</t>
  </si>
  <si>
    <t xml:space="preserve">DEF-012</t>
  </si>
  <si>
    <t xml:space="preserve">API Gateway Routing</t>
  </si>
  <si>
    <t xml:space="preserve">TC-SIT-045</t>
  </si>
  <si>
    <t xml:space="preserve">Multi-tenant header missing in downstream trace context</t>
  </si>
  <si>
    <t xml:space="preserve">Propagation gap</t>
  </si>
  <si>
    <t xml:space="preserve">Scheduled for v1.1</t>
  </si>
  <si>
    <t xml:space="preserve">SIT Phase Defects</t>
  </si>
  <si>
    <t xml:space="preserve">DEF-013</t>
  </si>
  <si>
    <t xml:space="preserve">Failover Recovery</t>
  </si>
  <si>
    <t xml:space="preserve">TC-SIT-058</t>
  </si>
  <si>
    <t xml:space="preserve">Write-ahead log replay fails after ungraceful shutdown</t>
  </si>
  <si>
    <t xml:space="preserve">WAL corruption scenario</t>
  </si>
  <si>
    <t xml:space="preserve">Fixed – WAL checksum validation</t>
  </si>
  <si>
    <t xml:space="preserve">DEF-014</t>
  </si>
  <si>
    <t xml:space="preserve">Correlation Engine</t>
  </si>
  <si>
    <t xml:space="preserve">TC-SIT-061</t>
  </si>
  <si>
    <t xml:space="preserve">Trace-to-log correlation shows &lt;5% false positives</t>
  </si>
  <si>
    <t xml:space="preserve">Heuristic tuning needed</t>
  </si>
  <si>
    <t xml:space="preserve">Planned for v1.1</t>
  </si>
  <si>
    <t xml:space="preserve">Accepted risk – cosmetic</t>
  </si>
  <si>
    <t xml:space="preserve">OUTSTANDING ISSUES  —  DEFERRED TO UPCOMING RELEASES</t>
  </si>
  <si>
    <t xml:space="preserve">⚠  Issues listed below are ACCEPTED RISKS / DEFERRED ITEMS. None block Go-Live. Each has an assigned target release and owner.</t>
  </si>
  <si>
    <t xml:space="preserve">Issue ID</t>
  </si>
  <si>
    <t xml:space="preserve">Module / Area</t>
  </si>
  <si>
    <t xml:space="preserve">Defect Ref</t>
  </si>
  <si>
    <t xml:space="preserve">Impact</t>
  </si>
  <si>
    <t xml:space="preserve">Category</t>
  </si>
  <si>
    <t xml:space="preserve">Description</t>
  </si>
  <si>
    <t xml:space="preserve">Workaround Available</t>
  </si>
  <si>
    <t xml:space="preserve">Risk Level</t>
  </si>
  <si>
    <t xml:space="preserve">Target Release</t>
  </si>
  <si>
    <t xml:space="preserve">Accepted By</t>
  </si>
  <si>
    <t xml:space="preserve">OI-001</t>
  </si>
  <si>
    <t xml:space="preserve">Low</t>
  </si>
  <si>
    <t xml:space="preserve">Enhancement</t>
  </si>
  <si>
    <t xml:space="preserve">PagerDuty webhook retry does not honour exponential backoff; manual retry works</t>
  </si>
  <si>
    <t xml:space="preserve">Yes – manual retry</t>
  </si>
  <si>
    <t xml:space="preserve">OI-002</t>
  </si>
  <si>
    <t xml:space="preserve">Medium</t>
  </si>
  <si>
    <t xml:space="preserve">Technical Debt</t>
  </si>
  <si>
    <t xml:space="preserve">Multi-tenant trace context propagation header missing in downstream calls; affects distributed tracing completeness</t>
  </si>
  <si>
    <t xml:space="preserve">Partial – tracing still functional</t>
  </si>
  <si>
    <t xml:space="preserve">OI-003</t>
  </si>
  <si>
    <t xml:space="preserve">Optimisation</t>
  </si>
  <si>
    <t xml:space="preserve">Trace-to-log correlation shows &lt;5% false-positive rate; heuristic model needs tuning</t>
  </si>
  <si>
    <t xml:space="preserve">No workaround needed – cosmetic</t>
  </si>
  <si>
    <t xml:space="preserve">OI-004</t>
  </si>
  <si>
    <t xml:space="preserve">N/A</t>
  </si>
  <si>
    <t xml:space="preserve">P4</t>
  </si>
  <si>
    <t xml:space="preserve">UX Enhancement</t>
  </si>
  <si>
    <t xml:space="preserve">Panel colour theme does not persist on browser refresh in Firefox</t>
  </si>
  <si>
    <t xml:space="preserve">Yes – refresh once</t>
  </si>
  <si>
    <t xml:space="preserve">v1.2</t>
  </si>
  <si>
    <t xml:space="preserve">OI-005</t>
  </si>
  <si>
    <t xml:space="preserve">RBAC Module</t>
  </si>
  <si>
    <t xml:space="preserve">Bulk user import via CSV limited to 500 rows; workaround is batch upload</t>
  </si>
  <si>
    <t xml:space="preserve">Yes – batch upload</t>
  </si>
  <si>
    <t xml:space="preserve">OI-006</t>
  </si>
  <si>
    <t xml:space="preserve">Performance</t>
  </si>
  <si>
    <t xml:space="preserve">Alert evaluation latency at 98th percentile is 320ms vs target 200ms under extreme load (5K rules)</t>
  </si>
  <si>
    <t xml:space="preserve">Acceptable at current scale</t>
  </si>
  <si>
    <t xml:space="preserve">OI-007</t>
  </si>
  <si>
    <t xml:space="preserve">Audit log export limited to 90 days in UI; full export via API works correctly</t>
  </si>
  <si>
    <t xml:space="preserve">Yes – use API export</t>
  </si>
  <si>
    <t xml:space="preserve">OI-008</t>
  </si>
  <si>
    <t xml:space="preserve">Metric Scraper</t>
  </si>
  <si>
    <t xml:space="preserve">Stability</t>
  </si>
  <si>
    <t xml:space="preserve">Occasional 503 returned from scrape endpoint when target list reloads; auto-recovers in &lt;5s</t>
  </si>
  <si>
    <t xml:space="preserve">Auto-recovers</t>
  </si>
  <si>
    <t xml:space="preserve">  DEFERRED ISSUE PLAN — RELEASE ROADMAP</t>
  </si>
  <si>
    <t xml:space="preserve">Count of Issues</t>
  </si>
  <si>
    <t xml:space="preserve">P2 Count</t>
  </si>
  <si>
    <t xml:space="preserve">P3 Count</t>
  </si>
  <si>
    <t xml:space="preserve">P4 Count</t>
  </si>
  <si>
    <t xml:space="preserve">Estimated Effort (days)</t>
  </si>
  <si>
    <t xml:space="preserve">v1.1 (Next Sprint)</t>
  </si>
  <si>
    <t xml:space="preserve">5-8</t>
  </si>
  <si>
    <t xml:space="preserve">All Medium-risk items</t>
  </si>
  <si>
    <t xml:space="preserve">v1.2 (Next Cycle)</t>
  </si>
  <si>
    <t xml:space="preserve">3-4</t>
  </si>
  <si>
    <t xml:space="preserve">Low-risk UX improvements</t>
  </si>
  <si>
    <t xml:space="preserve">UAT ENTRY CRITERIA &amp; ACCEPTANCE CRITERIA  —  PRE-UAT HANDOVER DOCUMENT</t>
  </si>
  <si>
    <t xml:space="preserve">This document confirms IT Testing Closure (ST + SIT) and defines the conditions under which UAT may commence. UAT is to be conducted by the Leadership Team.</t>
  </si>
  <si>
    <t xml:space="preserve">📋  IT TESTING STATUS:  ST ✔ CLOSED   |   SIT ✔ CLOSED   |   UAT  ► PENDING COMMENCEMENT   |   Decision: GO FOR UAT</t>
  </si>
  <si>
    <t xml:space="preserve">  SECTION 1  —  UAT ENTRY CRITERIA  (All must be MET before UAT commences)</t>
  </si>
  <si>
    <t xml:space="preserve">Entry Criterion</t>
  </si>
  <si>
    <t xml:space="preserve">Evidence / Artefact</t>
  </si>
  <si>
    <t xml:space="preserve">Target Date</t>
  </si>
  <si>
    <t xml:space="preserve">Actual Date</t>
  </si>
  <si>
    <t xml:space="preserve">EC-UAT-01</t>
  </si>
  <si>
    <t xml:space="preserve">ST Phase fully closed — pass rate ≥ 95%, zero open P1/P2</t>
  </si>
  <si>
    <t xml:space="preserve">Testing</t>
  </si>
  <si>
    <t xml:space="preserve">ST Closure Report (this workbook)</t>
  </si>
  <si>
    <t xml:space="preserve">EC-UAT-02</t>
  </si>
  <si>
    <t xml:space="preserve">SIT Phase fully closed — all integration scenarios passed, zero open P1/P2</t>
  </si>
  <si>
    <t xml:space="preserve">SIT Closure Report (this workbook)</t>
  </si>
  <si>
    <t xml:space="preserve">EC-UAT-03</t>
  </si>
  <si>
    <t xml:space="preserve">UAT environment provisioned, stable, and accessible to leadership team</t>
  </si>
  <si>
    <t xml:space="preserve">Infrastructure</t>
  </si>
  <si>
    <t xml:space="preserve">UAT Env URL shared: [Enter URL]</t>
  </si>
  <si>
    <t xml:space="preserve">EC-UAT-04</t>
  </si>
  <si>
    <t xml:space="preserve">UAT test data loaded — representative production-like scenarios for Observability Platform</t>
  </si>
  <si>
    <t xml:space="preserve">Test Data</t>
  </si>
  <si>
    <t xml:space="preserve">Test data load confirmation</t>
  </si>
  <si>
    <t xml:space="preserve">EC-UAT-05</t>
  </si>
  <si>
    <t xml:space="preserve">Leadership user accounts created with correct roles (Admin / Viewer) and SSO configured</t>
  </si>
  <si>
    <t xml:space="preserve">Access</t>
  </si>
  <si>
    <t xml:space="preserve">User provisioning email sent</t>
  </si>
  <si>
    <t xml:space="preserve">EC-UAT-06</t>
  </si>
  <si>
    <t xml:space="preserve">UAT test cases available in Jira and shared with UAT participants (links in Section 3)</t>
  </si>
  <si>
    <t xml:space="preserve">Test Management</t>
  </si>
  <si>
    <t xml:space="preserve">Jira UAT Epic: [Enter link]</t>
  </si>
  <si>
    <t xml:space="preserve">EC-UAT-07</t>
  </si>
  <si>
    <t xml:space="preserve">UAT test execution guide / user manual distributed to all UAT participants</t>
  </si>
  <si>
    <t xml:space="preserve">Documentation</t>
  </si>
  <si>
    <t xml:space="preserve">Doc link: [Enter URL]</t>
  </si>
  <si>
    <t xml:space="preserve">EC-UAT-08</t>
  </si>
  <si>
    <t xml:space="preserve">Known issues / outstanding items brief (deferred to v1.1 / v1.2) shared with leadership</t>
  </si>
  <si>
    <t xml:space="preserve">Communication</t>
  </si>
  <si>
    <t xml:space="preserve">Outstanding Issues sheet (this workbook)</t>
  </si>
  <si>
    <t xml:space="preserve">EC-UAT-09</t>
  </si>
  <si>
    <t xml:space="preserve">Walkthrough / demo session conducted with leadership prior to UAT start</t>
  </si>
  <si>
    <t xml:space="preserve">Meeting invite / recording link: [Enter]</t>
  </si>
  <si>
    <t xml:space="preserve">EC-UAT-10</t>
  </si>
  <si>
    <t xml:space="preserve">Performance &amp; security test reports shared — p95 latency ≤ 200ms, no High/Critical sec findings</t>
  </si>
  <si>
    <t xml:space="preserve">Quality</t>
  </si>
  <si>
    <t xml:space="preserve">Perf &amp; SecOps</t>
  </si>
  <si>
    <t xml:space="preserve">Perf report + Security scan report</t>
  </si>
  <si>
    <t xml:space="preserve">EC-UAT-11</t>
  </si>
  <si>
    <t xml:space="preserve">Rollback &amp; contingency plan documented and shared with stakeholders</t>
  </si>
  <si>
    <t xml:space="preserve">Risk</t>
  </si>
  <si>
    <t xml:space="preserve">Runbook: [Enter URL]</t>
  </si>
  <si>
    <t xml:space="preserve">EC-UAT-12</t>
  </si>
  <si>
    <t xml:space="preserve">UAT schedule (start date, end date, daily check-in slots) confirmed with leadership</t>
  </si>
  <si>
    <t xml:space="preserve">Planning</t>
  </si>
  <si>
    <t xml:space="preserve">Calendar invite sent</t>
  </si>
  <si>
    <t xml:space="preserve">EC-UAT-13</t>
  </si>
  <si>
    <t xml:space="preserve">UAT feedback / defect logging process explained — Jira project + severity guide shared</t>
  </si>
  <si>
    <t xml:space="preserve">Process</t>
  </si>
  <si>
    <t xml:space="preserve">Jira UAT Defect Project: [Enter link]</t>
  </si>
  <si>
    <t xml:space="preserve">EC-UAT-14</t>
  </si>
  <si>
    <t xml:space="preserve">Dedicated UAT support contact (QA Lead + Dev on-call) available during UAT window</t>
  </si>
  <si>
    <t xml:space="preserve">Support</t>
  </si>
  <si>
    <t xml:space="preserve">Support channel: [Enter Slack/Teams]</t>
  </si>
  <si>
    <t xml:space="preserve">  SECTION 2  —  UAT ACCEPTANCE CRITERIA  (Conditions for UAT PASS &amp; Go-Live Approval)</t>
  </si>
  <si>
    <t xml:space="preserve">Acceptance Criterion</t>
  </si>
  <si>
    <t xml:space="preserve">Threshold / Target</t>
  </si>
  <si>
    <t xml:space="preserve">Measurement Method</t>
  </si>
  <si>
    <t xml:space="preserve">AC-UAT-01</t>
  </si>
  <si>
    <t xml:space="preserve">All UAT test cases executed by leadership team</t>
  </si>
  <si>
    <t xml:space="preserve">Test Execution</t>
  </si>
  <si>
    <t xml:space="preserve">100% of UAT TCs in Jira executed</t>
  </si>
  <si>
    <t xml:space="preserve">Jira UAT Test Case Execution Report</t>
  </si>
  <si>
    <t xml:space="preserve">Mandatory</t>
  </si>
  <si>
    <t xml:space="preserve">PENDING</t>
  </si>
  <si>
    <t xml:space="preserve">AC-UAT-02</t>
  </si>
  <si>
    <t xml:space="preserve">UAT pass rate meets minimum threshold</t>
  </si>
  <si>
    <t xml:space="preserve">Quality Gate</t>
  </si>
  <si>
    <t xml:space="preserve">≥ 90% pass rate across all UAT test cases</t>
  </si>
  <si>
    <t xml:space="preserve">Jira execution summary dashboard</t>
  </si>
  <si>
    <t xml:space="preserve">AC-UAT-03</t>
  </si>
  <si>
    <t xml:space="preserve">Zero Blocker / Critical defects raised during UAT remain open at closure</t>
  </si>
  <si>
    <t xml:space="preserve">Defect Quality</t>
  </si>
  <si>
    <t xml:space="preserve">0 open Blocker / Critical UAT defects</t>
  </si>
  <si>
    <t xml:space="preserve">Jira UAT defect filter: Priority=Blocker+Critical, Status≠Closed</t>
  </si>
  <si>
    <t xml:space="preserve">AC-UAT-04</t>
  </si>
  <si>
    <t xml:space="preserve">No more than 2 open Major (P2) defects — all must have fix commitment</t>
  </si>
  <si>
    <t xml:space="preserve">≤ 2 open P2 defects with fix date</t>
  </si>
  <si>
    <t xml:space="preserve">Jira defect report + commitment register</t>
  </si>
  <si>
    <t xml:space="preserve">AC-UAT-05</t>
  </si>
  <si>
    <t xml:space="preserve">MVP-1 core flows validated by leadership: log ingestion, metric collection, trace pipeline, query API</t>
  </si>
  <si>
    <t xml:space="preserve">Functional Coverage</t>
  </si>
  <si>
    <t xml:space="preserve">All MVP-1 happy-path scenarios signed off</t>
  </si>
  <si>
    <t xml:space="preserve">UAT sign-off checklist (Section 4)</t>
  </si>
  <si>
    <t xml:space="preserve">AC-UAT-06</t>
  </si>
  <si>
    <t xml:space="preserve">MVP-2 core flows validated: dashboard creation, alert rule fire, notification delivery, RBAC</t>
  </si>
  <si>
    <t xml:space="preserve">All MVP-2 happy-path scenarios signed off</t>
  </si>
  <si>
    <t xml:space="preserve">AC-UAT-07</t>
  </si>
  <si>
    <t xml:space="preserve">End-to-end observability scenario validated: ingest → store → visualise → alert → notify</t>
  </si>
  <si>
    <t xml:space="preserve">E2E Validation</t>
  </si>
  <si>
    <t xml:space="preserve">Full chain validated in UAT environment</t>
  </si>
  <si>
    <t xml:space="preserve">E2E scenario TC in Jira: [Enter link]</t>
  </si>
  <si>
    <t xml:space="preserve">AC-UAT-08</t>
  </si>
  <si>
    <t xml:space="preserve">Leadership team confirms the platform meets stated business requirements</t>
  </si>
  <si>
    <t xml:space="preserve">Business Acceptance</t>
  </si>
  <si>
    <t xml:space="preserve">Positive sign-off from ≥ 3 of 5 stakeholders</t>
  </si>
  <si>
    <t xml:space="preserve">Leadership sign-off (Section 4 of this sheet)</t>
  </si>
  <si>
    <t xml:space="preserve">AC-UAT-09</t>
  </si>
  <si>
    <t xml:space="preserve">Platform usability acceptable — navigation, dashboard UX, alert configuration flow</t>
  </si>
  <si>
    <t xml:space="preserve">Usability</t>
  </si>
  <si>
    <t xml:space="preserve">No critical UX blockers raised</t>
  </si>
  <si>
    <t xml:space="preserve">UAT feedback form responses</t>
  </si>
  <si>
    <t xml:space="preserve">Desirable</t>
  </si>
  <si>
    <t xml:space="preserve">AC-UAT-10</t>
  </si>
  <si>
    <t xml:space="preserve">Performance acceptable in UAT — dashboards load &lt; 3s, alerts fire &lt; 30s</t>
  </si>
  <si>
    <t xml:space="preserve">Observed in UAT environment during testing</t>
  </si>
  <si>
    <t xml:space="preserve">Leadership observation + perf validation TC</t>
  </si>
  <si>
    <t xml:space="preserve">AC-UAT-11</t>
  </si>
  <si>
    <t xml:space="preserve">Data accuracy confirmed — logs/metrics/traces displayed correctly in dashboards</t>
  </si>
  <si>
    <t xml:space="preserve">Data Integrity</t>
  </si>
  <si>
    <t xml:space="preserve">Zero data discrepancy defects at Blocker/Critical</t>
  </si>
  <si>
    <t xml:space="preserve">Data validation TCs in Jira: [Enter link]</t>
  </si>
  <si>
    <t xml:space="preserve">AC-UAT-12</t>
  </si>
  <si>
    <t xml:space="preserve">Security: leadership can access only their authorised tenants / roles (RBAC validation)</t>
  </si>
  <si>
    <t xml:space="preserve">Security / RBAC</t>
  </si>
  <si>
    <t xml:space="preserve">Zero unauthorised access incidents during UAT</t>
  </si>
  <si>
    <t xml:space="preserve">RBAC test TCs in Jira: [Enter link]</t>
  </si>
  <si>
    <t xml:space="preserve">  SECTION 3  —  UAT TEST CASE REGISTER  (Jira Links — replace placeholders with actual Jira URLs)</t>
  </si>
  <si>
    <t xml:space="preserve">Jira TC ID</t>
  </si>
  <si>
    <t xml:space="preserve">Test Case Title</t>
  </si>
  <si>
    <t xml:space="preserve">Module / Feature</t>
  </si>
  <si>
    <t xml:space="preserve">Test Type</t>
  </si>
  <si>
    <t xml:space="preserve">Jira Link</t>
  </si>
  <si>
    <t xml:space="preserve">Expected Outcome</t>
  </si>
  <si>
    <t xml:space="preserve">UAT-TC-001</t>
  </si>
  <si>
    <t xml:space="preserve">Log ingestion from simulated agent — verify logs appear in dashboard</t>
  </si>
  <si>
    <t xml:space="preserve">MVP-1</t>
  </si>
  <si>
    <t xml:space="preserve">Log Collector</t>
  </si>
  <si>
    <t xml:space="preserve">High</t>
  </si>
  <si>
    <t xml:space="preserve">Functional</t>
  </si>
  <si>
    <t xml:space="preserve">[Paste Jira TC URL]</t>
  </si>
  <si>
    <t xml:space="preserve">Logs visible within 30s in log explorer</t>
  </si>
  <si>
    <t xml:space="preserve">UAT-TC-002</t>
  </si>
  <si>
    <t xml:space="preserve">Metric collection — verify CPU/Memory metrics on dashboard</t>
  </si>
  <si>
    <t xml:space="preserve">Metrics charted correctly with correct labels</t>
  </si>
  <si>
    <t xml:space="preserve">UAT-TC-003</t>
  </si>
  <si>
    <t xml:space="preserve">Trace search — query distributed trace and view waterfall</t>
  </si>
  <si>
    <t xml:space="preserve">Trace Ingestion</t>
  </si>
  <si>
    <t xml:space="preserve">Trace timeline and spans rendered accurately</t>
  </si>
  <si>
    <t xml:space="preserve">UAT-TC-004</t>
  </si>
  <si>
    <t xml:space="preserve">Create a custom dashboard panel (time-series chart)</t>
  </si>
  <si>
    <t xml:space="preserve">MVP-2</t>
  </si>
  <si>
    <t xml:space="preserve">Panel created, saved, and persists on reload</t>
  </si>
  <si>
    <t xml:space="preserve">UAT-TC-005</t>
  </si>
  <si>
    <t xml:space="preserve">Configure an alert rule (threshold-based) and validate it fires</t>
  </si>
  <si>
    <t xml:space="preserve">Critical</t>
  </si>
  <si>
    <t xml:space="preserve">Alert fires within 60s of threshold breach</t>
  </si>
  <si>
    <t xml:space="preserve">UAT-TC-006</t>
  </si>
  <si>
    <t xml:space="preserve">Validate Slack notification received on alert trigger</t>
  </si>
  <si>
    <t xml:space="preserve">Notification</t>
  </si>
  <si>
    <t xml:space="preserve">Integration</t>
  </si>
  <si>
    <t xml:space="preserve">Slack message received with correct alert details</t>
  </si>
  <si>
    <t xml:space="preserve">UAT-TC-007</t>
  </si>
  <si>
    <t xml:space="preserve">Validate PagerDuty incident raised on Critical alert</t>
  </si>
  <si>
    <t xml:space="preserve">PagerDuty incident created and linked to alert</t>
  </si>
  <si>
    <t xml:space="preserve">UAT-TC-008</t>
  </si>
  <si>
    <t xml:space="preserve">RBAC — Viewer role cannot edit dashboards or alert rules</t>
  </si>
  <si>
    <t xml:space="preserve">RBAC</t>
  </si>
  <si>
    <t xml:space="preserve">Security</t>
  </si>
  <si>
    <t xml:space="preserve">Edit controls hidden / disabled for Viewer role</t>
  </si>
  <si>
    <t xml:space="preserve">UAT-TC-009</t>
  </si>
  <si>
    <t xml:space="preserve">RBAC — Admin creates a new user and assigns Viewer role</t>
  </si>
  <si>
    <t xml:space="preserve">User created and can log in with Viewer access</t>
  </si>
  <si>
    <t xml:space="preserve">UAT-TC-010</t>
  </si>
  <si>
    <t xml:space="preserve">End-to-end: ingest log → search → pin to dashboard → alert on pattern</t>
  </si>
  <si>
    <t xml:space="preserve">MVP-1+2</t>
  </si>
  <si>
    <t xml:space="preserve">E2E</t>
  </si>
  <si>
    <t xml:space="preserve">All steps complete without error</t>
  </si>
  <si>
    <t xml:space="preserve">UAT-TC-011</t>
  </si>
  <si>
    <t xml:space="preserve">Multi-tenant isolation — tenant A cannot see tenant B data</t>
  </si>
  <si>
    <t xml:space="preserve">RBAC / Multi-tenant</t>
  </si>
  <si>
    <t xml:space="preserve">Zero cross-tenant data leakage</t>
  </si>
  <si>
    <t xml:space="preserve">UAT-TC-012</t>
  </si>
  <si>
    <t xml:space="preserve">Alert suppression / silence — silence rule stops notifications</t>
  </si>
  <si>
    <t xml:space="preserve">Alert Engine</t>
  </si>
  <si>
    <t xml:space="preserve">Notifications suppressed during silence window</t>
  </si>
  <si>
    <t xml:space="preserve">UAT-TC-013</t>
  </si>
  <si>
    <t xml:space="preserve">Dashboard time range filter — changing range updates all panels</t>
  </si>
  <si>
    <t xml:space="preserve">All panels refresh to reflect selected time range</t>
  </si>
  <si>
    <t xml:space="preserve">UAT-TC-014</t>
  </si>
  <si>
    <t xml:space="preserve">Audit log — admin actions appear in audit trail</t>
  </si>
  <si>
    <t xml:space="preserve">Admin Console</t>
  </si>
  <si>
    <t xml:space="preserve">Compliance</t>
  </si>
  <si>
    <t xml:space="preserve">Audit log entry created for each admin action</t>
  </si>
  <si>
    <t xml:space="preserve">UAT-TC-015</t>
  </si>
  <si>
    <t xml:space="preserve">Performance — dashboard with 10 panels loads within 3 seconds</t>
  </si>
  <si>
    <t xml:space="preserve">Page load &lt; 3s observed by UAT participant</t>
  </si>
  <si>
    <t xml:space="preserve">  SECTION 4  —  LEADERSHIP SIGN-OFF  —  AUTHORISATION TO COMMENCE UAT</t>
  </si>
  <si>
    <t xml:space="preserve">By signing below, each stakeholder confirms: (a) IT Testing Closure criteria have been reviewed and accepted, (b) UAT Entry Criteria are met, and (c) UAT may formally commence.</t>
  </si>
  <si>
    <t xml:space="preserve">Stakeholder Name</t>
  </si>
  <si>
    <t xml:space="preserve">Designation</t>
  </si>
  <si>
    <t xml:space="preserve">MVP / Area</t>
  </si>
  <si>
    <t xml:space="preserve">Date of Review</t>
  </si>
  <si>
    <t xml:space="preserve">Authorisation Decision</t>
  </si>
  <si>
    <t xml:space="preserve">Comments</t>
  </si>
  <si>
    <t xml:space="preserve">[Name]</t>
  </si>
  <si>
    <t xml:space="preserve">CTO / VP Engineering</t>
  </si>
  <si>
    <t xml:space="preserve">Overall Release — MVP-1 &amp; MVP-2</t>
  </si>
  <si>
    <t xml:space="preserve">AUTHORISED ✔</t>
  </si>
  <si>
    <t xml:space="preserve">Product Owner</t>
  </si>
  <si>
    <t xml:space="preserve">Platform Architect</t>
  </si>
  <si>
    <t xml:space="preserve">Architecture &amp; Non-Functional Requirements</t>
  </si>
  <si>
    <t xml:space="preserve">Security / Compliance Lead</t>
  </si>
  <si>
    <t xml:space="preserve">Security Sign-Off — RBAC, Multi-tenancy</t>
  </si>
  <si>
    <t xml:space="preserve">Business Stakeholder / Ops Lead</t>
  </si>
  <si>
    <t xml:space="preserve">Business Requirements Traceability</t>
  </si>
  <si>
    <t xml:space="preserve">TEST METRICS VISUALIZATIONS  —  ST · SIT  |  All Charts Auto-Update</t>
  </si>
  <si>
    <t xml:space="preserve">  DATA SOURCE (Auto-linked from Results sheets)</t>
  </si>
  <si>
    <t xml:space="preserve">Phase/Module</t>
  </si>
  <si>
    <t xml:space="preserve">Total</t>
  </si>
  <si>
    <t xml:space="preserve">In Progress</t>
  </si>
  <si>
    <t xml:space="preserve">ST – MVP-1</t>
  </si>
  <si>
    <t xml:space="preserve">0</t>
  </si>
  <si>
    <t xml:space="preserve">ST – MVP-2</t>
  </si>
  <si>
    <t xml:space="preserve">SIT – All</t>
  </si>
  <si>
    <t xml:space="preserve">RELEASE NOTES  v1.0  —  OBSERVABILITY PLATFORM  |  MVP-1 &amp; MVP-2</t>
  </si>
  <si>
    <t xml:space="preserve">  RELEASE OVERVIEW</t>
  </si>
  <si>
    <t xml:space="preserve">Release Version</t>
  </si>
  <si>
    <t xml:space="preserve">Release Date</t>
  </si>
  <si>
    <t xml:space="preserve">Release Type</t>
  </si>
  <si>
    <t xml:space="preserve">Major – New Platform Launch</t>
  </si>
  <si>
    <t xml:space="preserve">MVPs Included</t>
  </si>
  <si>
    <t xml:space="preserve">MVP-1: Data Ingestion &amp; Pipeline  |  MVP-2: Dashboards &amp; Alerting</t>
  </si>
  <si>
    <t xml:space="preserve">Test Phases Completed</t>
  </si>
  <si>
    <t xml:space="preserve">ST (System Testing)  +  SIT (System Integration Testing)</t>
  </si>
  <si>
    <t xml:space="preserve">Go / No-Go Decision</t>
  </si>
  <si>
    <t xml:space="preserve">GO ✔</t>
  </si>
  <si>
    <t xml:space="preserve">  MVP-1 FEATURES DELIVERED</t>
  </si>
  <si>
    <t xml:space="preserve">F-01</t>
  </si>
  <si>
    <t xml:space="preserve">Log Collector Agent – multi-source, multi-format</t>
  </si>
  <si>
    <t xml:space="preserve">F-02</t>
  </si>
  <si>
    <t xml:space="preserve">Metric Scraper with Prometheus-compatible pull model</t>
  </si>
  <si>
    <t xml:space="preserve">F-03</t>
  </si>
  <si>
    <t xml:space="preserve">Distributed Trace Ingestion (OpenTelemetry compatible)</t>
  </si>
  <si>
    <t xml:space="preserve">F-04</t>
  </si>
  <si>
    <t xml:space="preserve">Data Parser &amp; Normalizer with schema registry</t>
  </si>
  <si>
    <t xml:space="preserve">F-05</t>
  </si>
  <si>
    <t xml:space="preserve">TimeSeries Storage Layer – multi-tenant partitioned</t>
  </si>
  <si>
    <t xml:space="preserve">F-06</t>
  </si>
  <si>
    <t xml:space="preserve">Query API Gateway – REST + GraphQL endpoints</t>
  </si>
  <si>
    <t xml:space="preserve">  MVP-2 FEATURES DELIVERED</t>
  </si>
  <si>
    <t xml:space="preserve">F-07</t>
  </si>
  <si>
    <t xml:space="preserve">Dashboard Builder – drag-and-drop, multi-panel</t>
  </si>
  <si>
    <t xml:space="preserve">F-08</t>
  </si>
  <si>
    <t xml:space="preserve">Alert Rule Engine – threshold, anomaly, composite rules</t>
  </si>
  <si>
    <t xml:space="preserve">F-09</t>
  </si>
  <si>
    <t xml:space="preserve">Notification Dispatcher – Slack, PagerDuty, Email, Webhook</t>
  </si>
  <si>
    <t xml:space="preserve">F-10</t>
  </si>
  <si>
    <t xml:space="preserve">RBAC Module – Admin / Editor / Viewer roles, SSO ready</t>
  </si>
  <si>
    <t xml:space="preserve">F-11</t>
  </si>
  <si>
    <t xml:space="preserve">Platform Admin Console – tenant mgmt, audit logs, config</t>
  </si>
  <si>
    <t xml:space="preserve">  KNOWN LIMITATIONS (v1.0)</t>
  </si>
  <si>
    <t xml:space="preserve">L-01</t>
  </si>
  <si>
    <t xml:space="preserve">PagerDuty webhook retry without exponential backoff → Fixed in v1.1</t>
  </si>
  <si>
    <t xml:space="preserve">L-02</t>
  </si>
  <si>
    <t xml:space="preserve">Multi-tenant trace context propagation gap → Fixed in v1.1</t>
  </si>
  <si>
    <t xml:space="preserve">L-03</t>
  </si>
  <si>
    <t xml:space="preserve">Trace-log correlation &lt;5% false positives → Optimised in v1.1</t>
  </si>
  <si>
    <t xml:space="preserve">L-04</t>
  </si>
  <si>
    <t xml:space="preserve">Dashboard theme not persisting in Firefox → Fixed in v1.2</t>
  </si>
  <si>
    <t xml:space="preserve">L-05</t>
  </si>
  <si>
    <t xml:space="preserve">Bulk user CSV import limit 500 rows → Extended in v1.2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</si>
</sst>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C9E4F5"/>
      <name val="Arial"/>
      <family val="0"/>
      <charset val="1"/>
    </font>
    <font>
      <sz val="10"/>
      <color rgb="FFB0BEC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E6FA5"/>
      <name val="Arial"/>
      <family val="0"/>
      <charset val="1"/>
    </font>
    <font>
      <b val="true"/>
      <sz val="22"/>
      <color rgb="FF0E7C7B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B71C1C"/>
      <name val="Arial"/>
      <family val="0"/>
      <charset val="1"/>
    </font>
    <font>
      <b val="true"/>
      <sz val="22"/>
      <color rgb="FFE65100"/>
      <name val="Arial"/>
      <family val="0"/>
      <charset val="1"/>
    </font>
    <font>
      <b val="true"/>
      <sz val="22"/>
      <color rgb="FF4527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10"/>
      <color rgb="FF455A6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C9E4F5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0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9"/>
      <color rgb="FFF9A825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E6FA5"/>
      <name val="Arial"/>
      <family val="0"/>
      <charset val="1"/>
    </font>
    <font>
      <i val="true"/>
      <sz val="9"/>
      <color rgb="FF455A64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b val="true"/>
      <sz val="9"/>
      <color rgb="FF1E6FA5"/>
      <name val="Arial"/>
      <family val="0"/>
      <charset val="1"/>
    </font>
    <font>
      <u val="single"/>
      <sz val="10"/>
      <color rgb="FF1E6FA5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E7C7B"/>
      <name val="Arial"/>
      <family val="0"/>
      <charset val="1"/>
    </font>
    <font>
      <b val="true"/>
      <sz val="9"/>
      <color rgb="FF4527A0"/>
      <name val="Arial"/>
      <family val="0"/>
      <charset val="1"/>
    </font>
    <font>
      <b val="true"/>
      <sz val="9"/>
      <color rgb="FF455A64"/>
      <name val="Arial"/>
      <family val="0"/>
      <charset val="1"/>
    </font>
    <font>
      <b val="true"/>
      <sz val="9"/>
      <color rgb="FFE65100"/>
      <name val="Arial"/>
      <family val="0"/>
      <charset val="1"/>
    </font>
    <font>
      <i val="true"/>
      <sz val="10"/>
      <color rgb="FFE651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E7D32"/>
        <bgColor rgb="FF0E7C7B"/>
      </patternFill>
    </fill>
    <fill>
      <patternFill patternType="solid">
        <fgColor rgb="FF1E6FA5"/>
        <bgColor rgb="FF0E7C7B"/>
      </patternFill>
    </fill>
    <fill>
      <patternFill patternType="solid">
        <fgColor rgb="FF0E7C7B"/>
        <bgColor rgb="FF008080"/>
      </patternFill>
    </fill>
    <fill>
      <patternFill patternType="solid">
        <fgColor rgb="FFB71C1C"/>
        <bgColor rgb="FFD32F2F"/>
      </patternFill>
    </fill>
    <fill>
      <patternFill patternType="solid">
        <fgColor rgb="FFE65100"/>
        <bgColor rgb="FFFF6F00"/>
      </patternFill>
    </fill>
    <fill>
      <patternFill patternType="solid">
        <fgColor rgb="FF4527A0"/>
        <bgColor rgb="FF1B3A5C"/>
      </patternFill>
    </fill>
    <fill>
      <patternFill patternType="solid">
        <fgColor rgb="FFC9E4F5"/>
        <bgColor rgb="FFC5ECEA"/>
      </patternFill>
    </fill>
    <fill>
      <patternFill patternType="solid">
        <fgColor rgb="FFC5ECEA"/>
        <bgColor rgb="FFC9E4F5"/>
      </patternFill>
    </fill>
    <fill>
      <patternFill patternType="solid">
        <fgColor rgb="FFC8E6C9"/>
        <bgColor rgb="FFC5ECEA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EDE7F6"/>
        <bgColor rgb="FFE8ECF0"/>
      </patternFill>
    </fill>
    <fill>
      <patternFill patternType="solid">
        <fgColor rgb="FF1B3A5C"/>
        <bgColor rgb="FF333333"/>
      </patternFill>
    </fill>
    <fill>
      <patternFill patternType="solid">
        <fgColor rgb="FFF4F7FB"/>
        <bgColor rgb="FFF9F9F9"/>
      </patternFill>
    </fill>
    <fill>
      <patternFill patternType="solid">
        <fgColor rgb="FFE8ECF0"/>
        <bgColor rgb="FFEDE7F6"/>
      </patternFill>
    </fill>
    <fill>
      <patternFill patternType="solid">
        <fgColor rgb="FF455A64"/>
        <bgColor rgb="FF1B3A5C"/>
      </patternFill>
    </fill>
    <fill>
      <patternFill patternType="solid">
        <fgColor rgb="FFFFF9C4"/>
        <bgColor rgb="FFF9F9F9"/>
      </patternFill>
    </fill>
    <fill>
      <patternFill patternType="solid">
        <fgColor rgb="FFF9A825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455A64"/>
      </left>
      <right/>
      <top style="medium">
        <color rgb="FF455A64"/>
      </top>
      <bottom style="medium">
        <color rgb="FF455A64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4F7FB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0BEC5"/>
      <rgbColor rgb="FF878787"/>
      <rgbColor rgb="FF9999FF"/>
      <rgbColor rgb="FFC0504D"/>
      <rgbColor rgb="FFFFF9C4"/>
      <rgbColor rgb="FFC5ECEA"/>
      <rgbColor rgb="FF660066"/>
      <rgbColor rgb="FFE65100"/>
      <rgbColor rgb="FF1E6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E4F5"/>
      <rgbColor rgb="FFC8E6C9"/>
      <rgbColor rgb="FFF9F9F9"/>
      <rgbColor rgb="FFE8ECF0"/>
      <rgbColor rgb="FFFFCDD2"/>
      <rgbColor rgb="FFEDE7F6"/>
      <rgbColor rgb="FFFFE0B2"/>
      <rgbColor rgb="FF4F81BD"/>
      <rgbColor rgb="FF00C853"/>
      <rgbColor rgb="FF9BBB59"/>
      <rgbColor rgb="FFFFCC00"/>
      <rgbColor rgb="FFF9A825"/>
      <rgbColor rgb="FFFF6F00"/>
      <rgbColor rgb="FF455A64"/>
      <rgbColor rgb="FF90A4AE"/>
      <rgbColor rgb="FF1B3A5C"/>
      <rgbColor rgb="FF2E7D32"/>
      <rgbColor rgb="FF0D1B2A"/>
      <rgbColor rgb="FF333300"/>
      <rgbColor rgb="FFB71C1C"/>
      <rgbColor rgb="FFD32F2F"/>
      <rgbColor rgb="FF4527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 — Test Execution by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'📋 ST Results'!D6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c8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ST Results'!$B$7:$B$12</c:f>
              <c:strCache>
                <c:ptCount val="6"/>
                <c:pt idx="0">
                  <c:v>Log Collector Agent</c:v>
                </c:pt>
                <c:pt idx="1">
                  <c:v>Metric Scraper Service</c:v>
                </c:pt>
                <c:pt idx="2">
                  <c:v>Trace Ingestion Pipeline</c:v>
                </c:pt>
                <c:pt idx="3">
                  <c:v>Data Parser &amp; Normalizer</c:v>
                </c:pt>
                <c:pt idx="4">
                  <c:v>Storage Layer (TimeSeries DB)</c:v>
                </c:pt>
                <c:pt idx="5">
                  <c:v>API Gateway / Query Service</c:v>
                </c:pt>
              </c:strCache>
            </c:strRef>
          </c:cat>
          <c:val>
            <c:numRef>
              <c:f>'📋 ST Results'!$D$7:$D$12</c:f>
              <c:numCache>
                <c:formatCode>General</c:formatCode>
                <c:ptCount val="6"/>
                <c:pt idx="0">
                  <c:v>42</c:v>
                </c:pt>
                <c:pt idx="1">
                  <c:v>38</c:v>
                </c:pt>
                <c:pt idx="2">
                  <c:v>35</c:v>
                </c:pt>
                <c:pt idx="3">
                  <c:v>45</c:v>
                </c:pt>
                <c:pt idx="4">
                  <c:v>50</c:v>
                </c:pt>
                <c:pt idx="5">
                  <c:v>40</c:v>
                </c:pt>
              </c:numCache>
            </c:numRef>
          </c:val>
        </c:ser>
        <c:ser>
          <c:idx val="1"/>
          <c:order val="1"/>
          <c:tx>
            <c:strRef>
              <c:f>'📋 ST Results'!E6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32f2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ST Results'!$B$7:$B$12</c:f>
              <c:strCache>
                <c:ptCount val="6"/>
                <c:pt idx="0">
                  <c:v>Log Collector Agent</c:v>
                </c:pt>
                <c:pt idx="1">
                  <c:v>Metric Scraper Service</c:v>
                </c:pt>
                <c:pt idx="2">
                  <c:v>Trace Ingestion Pipeline</c:v>
                </c:pt>
                <c:pt idx="3">
                  <c:v>Data Parser &amp; Normalizer</c:v>
                </c:pt>
                <c:pt idx="4">
                  <c:v>Storage Layer (TimeSeries DB)</c:v>
                </c:pt>
                <c:pt idx="5">
                  <c:v>API Gateway / Query Service</c:v>
                </c:pt>
              </c:strCache>
            </c:strRef>
          </c:cat>
          <c:val>
            <c:numRef>
              <c:f>'📋 ST Results'!$E$7:$E$12</c:f>
              <c:numCache>
                <c:formatCode>General</c:formatCode>
                <c:ptCount val="6"/>
                <c:pt idx="0">
                  <c:v>40</c:v>
                </c:pt>
                <c:pt idx="1">
                  <c:v>37</c:v>
                </c:pt>
                <c:pt idx="2">
                  <c:v>34</c:v>
                </c:pt>
                <c:pt idx="3">
                  <c:v>43</c:v>
                </c:pt>
                <c:pt idx="4">
                  <c:v>48</c:v>
                </c:pt>
                <c:pt idx="5">
                  <c:v>39</c:v>
                </c:pt>
              </c:numCache>
            </c:numRef>
          </c:val>
        </c:ser>
        <c:ser>
          <c:idx val="2"/>
          <c:order val="2"/>
          <c:tx>
            <c:strRef>
              <c:f>'📋 ST Results'!F6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6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ST Results'!$B$7:$B$12</c:f>
              <c:strCache>
                <c:ptCount val="6"/>
                <c:pt idx="0">
                  <c:v>Log Collector Agent</c:v>
                </c:pt>
                <c:pt idx="1">
                  <c:v>Metric Scraper Service</c:v>
                </c:pt>
                <c:pt idx="2">
                  <c:v>Trace Ingestion Pipeline</c:v>
                </c:pt>
                <c:pt idx="3">
                  <c:v>Data Parser &amp; Normalizer</c:v>
                </c:pt>
                <c:pt idx="4">
                  <c:v>Storage Layer (TimeSeries DB)</c:v>
                </c:pt>
                <c:pt idx="5">
                  <c:v>API Gateway / Query Service</c:v>
                </c:pt>
              </c:strCache>
            </c:strRef>
          </c:cat>
          <c:val>
            <c:numRef>
              <c:f>'📋 ST Results'!$F$7:$F$12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75218321"/>
        <c:axId val="71112943"/>
      </c:barChart>
      <c:catAx>
        <c:axId val="752183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12943"/>
        <c:crosses val="autoZero"/>
        <c:auto val="1"/>
        <c:lblAlgn val="ctr"/>
        <c:lblOffset val="100"/>
        <c:noMultiLvlLbl val="0"/>
      </c:catAx>
      <c:valAx>
        <c:axId val="71112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Test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18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SIT — Pass / Fail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'📋 SIT Results'!D5</c:f>
              <c:strCache>
                <c:ptCount val="1"/>
                <c:pt idx="0">
                  <c:v>181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'📋 SIT Results'!$D$5:$E$5</c:f>
              <c:numCache>
                <c:formatCode>General</c:formatCode>
                <c:ptCount val="2"/>
                <c:pt idx="0">
                  <c:v>181</c:v>
                </c:pt>
                <c:pt idx="1">
                  <c:v>175</c:v>
                </c:pt>
              </c:numCache>
            </c:numRef>
          </c:val>
        </c:ser>
        <c:ser>
          <c:idx val="1"/>
          <c:order val="1"/>
          <c:tx>
            <c:strRef>
              <c:f>'📋 SIT Results'!E5</c:f>
              <c:strCache>
                <c:ptCount val="1"/>
                <c:pt idx="0">
                  <c:v>175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'📋 SIT Results'!$E$5:$F$5</c:f>
              <c:numCache>
                <c:formatCode>General</c:formatCode>
                <c:ptCount val="2"/>
                <c:pt idx="0">
                  <c:v>175</c:v>
                </c:pt>
                <c:pt idx="1">
                  <c:v>5</c:v>
                </c:pt>
              </c:numCache>
            </c:numRef>
          </c:val>
        </c:ser>
        <c:ser>
          <c:idx val="2"/>
          <c:order val="2"/>
          <c:tx>
            <c:strRef>
              <c:f>'📋 SIT Results'!F5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'📋 SIT Results'!$F$5:$G$5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'🐛 Defect Tracker'!$Q$8:$Q$11</c:f>
              <c:strCache>
                <c:ptCount val="4"/>
                <c:pt idx="0">
                  <c:v>P1 – Critical</c:v>
                </c:pt>
                <c:pt idx="1">
                  <c:v>P2 – Major</c:v>
                </c:pt>
                <c:pt idx="2">
                  <c:v>P3 – Minor</c:v>
                </c:pt>
                <c:pt idx="3">
                  <c:v>P4 – Cosmetic</c:v>
                </c:pt>
              </c:strCache>
            </c:strRef>
          </c:cat>
          <c:val>
            <c:numRef>
              <c:f>'🐛 Defect Tracker'!$R$8:$R$11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011382"/>
        <c:axId val="52902905"/>
      </c:barChart>
      <c:catAx>
        <c:axId val="1011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02905"/>
        <c:crosses val="autoZero"/>
        <c:auto val="1"/>
        <c:lblAlgn val="ctr"/>
        <c:lblOffset val="100"/>
        <c:noMultiLvlLbl val="0"/>
      </c:catAx>
      <c:valAx>
        <c:axId val="52902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1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Execution Summary – ST vs SIT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'📈 Visualizations'!E6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Visualizations'!$B$7:$B$9</c:f>
              <c:strCache>
                <c:ptCount val="3"/>
                <c:pt idx="0">
                  <c:v>ST – MVP-1</c:v>
                </c:pt>
                <c:pt idx="1">
                  <c:v>ST – MVP-2</c:v>
                </c:pt>
                <c:pt idx="2">
                  <c:v>SIT – All</c:v>
                </c:pt>
              </c:strCache>
            </c:strRef>
          </c:cat>
          <c:val>
            <c:numRef>
              <c:f>'📈 Visualizations'!$E$7:$E$9</c:f>
              <c:numCache>
                <c:formatCode>General</c:formatCode>
                <c:ptCount val="3"/>
                <c:pt idx="0">
                  <c:v>40</c:v>
                </c:pt>
                <c:pt idx="1">
                  <c:v>46</c:v>
                </c:pt>
                <c:pt idx="2">
                  <c:v>175</c:v>
                </c:pt>
              </c:numCache>
            </c:numRef>
          </c:val>
        </c:ser>
        <c:ser>
          <c:idx val="1"/>
          <c:order val="1"/>
          <c:tx>
            <c:strRef>
              <c:f>'📈 Visualizations'!F6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b71c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Visualizations'!$B$7:$B$9</c:f>
              <c:strCache>
                <c:ptCount val="3"/>
                <c:pt idx="0">
                  <c:v>ST – MVP-1</c:v>
                </c:pt>
                <c:pt idx="1">
                  <c:v>ST – MVP-2</c:v>
                </c:pt>
                <c:pt idx="2">
                  <c:v>SIT – All</c:v>
                </c:pt>
              </c:strCache>
            </c:strRef>
          </c:cat>
          <c:val>
            <c:numRef>
              <c:f>'📈 Visualizations'!$F$7:$F$9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strRef>
              <c:f>'📈 Visualizations'!G6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e651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Visualizations'!$B$7:$B$9</c:f>
              <c:strCache>
                <c:ptCount val="3"/>
                <c:pt idx="0">
                  <c:v>ST – MVP-1</c:v>
                </c:pt>
                <c:pt idx="1">
                  <c:v>ST – MVP-2</c:v>
                </c:pt>
                <c:pt idx="2">
                  <c:v>SIT – All</c:v>
                </c:pt>
              </c:strCache>
            </c:strRef>
          </c:cat>
          <c:val>
            <c:numRef>
              <c:f>'📈 Visualizations'!$G$7:$G$9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strRef>
              <c:f>'📈 Visualizations'!H6</c:f>
              <c:strCache>
                <c:ptCount val="1"/>
                <c:pt idx="0">
                  <c:v>Not Run</c:v>
                </c:pt>
              </c:strCache>
            </c:strRef>
          </c:tx>
          <c:spPr>
            <a:solidFill>
              <a:srgbClr val="90a4a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Visualizations'!$B$7:$B$9</c:f>
              <c:strCache>
                <c:ptCount val="3"/>
                <c:pt idx="0">
                  <c:v>ST – MVP-1</c:v>
                </c:pt>
                <c:pt idx="1">
                  <c:v>ST – MVP-2</c:v>
                </c:pt>
                <c:pt idx="2">
                  <c:v>SIT – All</c:v>
                </c:pt>
              </c:strCache>
            </c:strRef>
          </c:cat>
          <c:val>
            <c:numRef>
              <c:f>'📈 Visualizations'!$H$7:$H$9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63421019"/>
        <c:axId val="68892930"/>
      </c:barChart>
      <c:catAx>
        <c:axId val="63421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92930"/>
        <c:crosses val="autoZero"/>
        <c:auto val="1"/>
        <c:lblAlgn val="ctr"/>
        <c:lblOffset val="100"/>
        <c:noMultiLvlLbl val="0"/>
      </c:catAx>
      <c:valAx>
        <c:axId val="68892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Test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21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Pass / Fail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Visualizations'!E6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'📈 Visualizations'!$E$7:$E$9</c:f>
              <c:numCache>
                <c:formatCode>General</c:formatCode>
                <c:ptCount val="3"/>
                <c:pt idx="0">
                  <c:v>40</c:v>
                </c:pt>
                <c:pt idx="1">
                  <c:v>46</c:v>
                </c:pt>
                <c:pt idx="2">
                  <c:v>175</c:v>
                </c:pt>
              </c:numCache>
            </c:numRef>
          </c:val>
        </c:ser>
        <c:ser>
          <c:idx val="1"/>
          <c:order val="1"/>
          <c:tx>
            <c:strRef>
              <c:f>'📈 Visualizations'!F6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'📈 Visualizations'!$F$7:$F$9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strRef>
              <c:f>'📈 Visualizations'!G6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'📈 Visualizations'!$G$7:$G$9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Defects by Priority &amp;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Visualizations'!L6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Visualizations'!$K$7:$K$10</c:f>
              <c:strCache>
                <c:ptCount val="4"/>
                <c:pt idx="0">
                  <c:v>P1 – Critical</c:v>
                </c:pt>
                <c:pt idx="1">
                  <c:v>P2 – Major</c:v>
                </c:pt>
                <c:pt idx="2">
                  <c:v>P3 – Minor</c:v>
                </c:pt>
                <c:pt idx="3">
                  <c:v>P4 – Cosmetic</c:v>
                </c:pt>
              </c:strCache>
            </c:strRef>
          </c:cat>
          <c:val>
            <c:numRef>
              <c:f>'📈 Visualizations'!$L$7:$L$10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'📈 Visualizations'!M6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b71c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Visualizations'!$K$7:$K$10</c:f>
              <c:strCache>
                <c:ptCount val="4"/>
                <c:pt idx="0">
                  <c:v>P1 – Critical</c:v>
                </c:pt>
                <c:pt idx="1">
                  <c:v>P2 – Major</c:v>
                </c:pt>
                <c:pt idx="2">
                  <c:v>P3 – Minor</c:v>
                </c:pt>
                <c:pt idx="3">
                  <c:v>P4 – Cosmetic</c:v>
                </c:pt>
              </c:strCache>
            </c:strRef>
          </c:cat>
          <c:val>
            <c:numRef>
              <c:f>'📈 Visualizations'!$M$7:$M$10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'📈 Visualizations'!N6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ff6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Visualizations'!$K$7:$K$10</c:f>
              <c:strCache>
                <c:ptCount val="4"/>
                <c:pt idx="0">
                  <c:v>P1 – Critical</c:v>
                </c:pt>
                <c:pt idx="1">
                  <c:v>P2 – Major</c:v>
                </c:pt>
                <c:pt idx="2">
                  <c:v>P3 – Minor</c:v>
                </c:pt>
                <c:pt idx="3">
                  <c:v>P4 – Cosmetic</c:v>
                </c:pt>
              </c:strCache>
            </c:strRef>
          </c:cat>
          <c:val>
            <c:numRef>
              <c:f>'📈 Visualizations'!$N$7:$N$10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70642666"/>
        <c:axId val="33677762"/>
      </c:barChart>
      <c:catAx>
        <c:axId val="70642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77762"/>
        <c:crosses val="autoZero"/>
        <c:auto val="1"/>
        <c:lblAlgn val="ctr"/>
        <c:lblOffset val="100"/>
        <c:noMultiLvlLbl val="0"/>
      </c:catAx>
      <c:valAx>
        <c:axId val="33677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42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10</xdr:col>
      <xdr:colOff>307440</xdr:colOff>
      <xdr:row>47</xdr:row>
      <xdr:rowOff>86760</xdr:rowOff>
    </xdr:to>
    <xdr:graphicFrame>
      <xdr:nvGraphicFramePr>
        <xdr:cNvPr id="0" name="Chart 1"/>
        <xdr:cNvGraphicFramePr/>
      </xdr:nvGraphicFramePr>
      <xdr:xfrm>
        <a:off x="141120" y="52293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105840</xdr:colOff>
      <xdr:row>45</xdr:row>
      <xdr:rowOff>86400</xdr:rowOff>
    </xdr:to>
    <xdr:graphicFrame>
      <xdr:nvGraphicFramePr>
        <xdr:cNvPr id="1" name="Chart 1"/>
        <xdr:cNvGraphicFramePr/>
      </xdr:nvGraphicFramePr>
      <xdr:xfrm>
        <a:off x="141120" y="472428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18</xdr:row>
      <xdr:rowOff>0</xdr:rowOff>
    </xdr:from>
    <xdr:to>
      <xdr:col>23</xdr:col>
      <xdr:colOff>222120</xdr:colOff>
      <xdr:row>36</xdr:row>
      <xdr:rowOff>56160</xdr:rowOff>
    </xdr:to>
    <xdr:graphicFrame>
      <xdr:nvGraphicFramePr>
        <xdr:cNvPr id="2" name="Chart 1"/>
        <xdr:cNvGraphicFramePr/>
      </xdr:nvGraphicFramePr>
      <xdr:xfrm>
        <a:off x="15365880" y="4514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10</xdr:col>
      <xdr:colOff>976320</xdr:colOff>
      <xdr:row>36</xdr:row>
      <xdr:rowOff>86760</xdr:rowOff>
    </xdr:to>
    <xdr:graphicFrame>
      <xdr:nvGraphicFramePr>
        <xdr:cNvPr id="3" name="Chart 1"/>
        <xdr:cNvGraphicFramePr/>
      </xdr:nvGraphicFramePr>
      <xdr:xfrm>
        <a:off x="141120" y="213372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18</xdr:col>
      <xdr:colOff>385560</xdr:colOff>
      <xdr:row>36</xdr:row>
      <xdr:rowOff>86760</xdr:rowOff>
    </xdr:to>
    <xdr:graphicFrame>
      <xdr:nvGraphicFramePr>
        <xdr:cNvPr id="4" name="Chart 2"/>
        <xdr:cNvGraphicFramePr/>
      </xdr:nvGraphicFramePr>
      <xdr:xfrm>
        <a:off x="6631200" y="213372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976320</xdr:colOff>
      <xdr:row>51</xdr:row>
      <xdr:rowOff>86400</xdr:rowOff>
    </xdr:to>
    <xdr:graphicFrame>
      <xdr:nvGraphicFramePr>
        <xdr:cNvPr id="5" name="Chart 3"/>
        <xdr:cNvGraphicFramePr/>
      </xdr:nvGraphicFramePr>
      <xdr:xfrm>
        <a:off x="141120" y="49910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P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4" min="3" style="0" width="14"/>
    <col collapsed="false" customWidth="true" hidden="false" outlineLevel="0" max="16" min="15" style="0" width="3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 customFormat="false" ht="18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</row>
    <row r="4" customFormat="false" ht="18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5" t="s">
        <v>3</v>
      </c>
      <c r="J4" s="5"/>
      <c r="K4" s="5"/>
      <c r="L4" s="5"/>
      <c r="M4" s="5"/>
      <c r="N4" s="5"/>
      <c r="O4" s="1"/>
      <c r="P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9.75" hidden="false" customHeight="true" outlineLevel="0" collapsed="false"/>
    <row r="7" customFormat="false" ht="24.75" hidden="false" customHeight="true" outlineLevel="0" collapsed="false"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24.75" hidden="false" customHeight="tru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24.75" hidden="false" customHeight="tru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9.75" hidden="false" customHeight="true" outlineLevel="0" collapsed="false"/>
    <row r="11" customFormat="false" ht="13.5" hidden="false" customHeight="true" outlineLevel="0" collapsed="false">
      <c r="B11" s="7" t="s">
        <v>5</v>
      </c>
      <c r="C11" s="7"/>
      <c r="D11" s="8" t="s">
        <v>6</v>
      </c>
      <c r="E11" s="8"/>
      <c r="F11" s="9" t="s">
        <v>7</v>
      </c>
      <c r="G11" s="9"/>
      <c r="H11" s="10" t="s">
        <v>8</v>
      </c>
      <c r="I11" s="10"/>
      <c r="J11" s="11" t="s">
        <v>9</v>
      </c>
      <c r="K11" s="11"/>
      <c r="L11" s="12" t="s">
        <v>10</v>
      </c>
      <c r="M11" s="12"/>
    </row>
    <row r="12" customFormat="false" ht="30" hidden="false" customHeight="true" outlineLevel="0" collapsed="false">
      <c r="B12" s="13" t="n">
        <f aca="false">'📋 ST Results'!C5+'📋 SIT Results'!C5</f>
        <v>624</v>
      </c>
      <c r="C12" s="13"/>
      <c r="D12" s="14" t="n">
        <f aca="false">'📋 ST Results'!D5+'📋 SIT Results'!D5</f>
        <v>624</v>
      </c>
      <c r="E12" s="14"/>
      <c r="F12" s="15" t="n">
        <f aca="false">'📋 ST Results'!E5+'📋 SIT Results'!E5</f>
        <v>602</v>
      </c>
      <c r="G12" s="15"/>
      <c r="H12" s="16" t="n">
        <f aca="false">'📋 ST Results'!F5+'📋 SIT Results'!F5</f>
        <v>19</v>
      </c>
      <c r="I12" s="16"/>
      <c r="J12" s="17" t="n">
        <f aca="false">'📋 ST Results'!G5+'📋 SIT Results'!G5</f>
        <v>3</v>
      </c>
      <c r="K12" s="17"/>
      <c r="L12" s="18" t="n">
        <f aca="false">IFERROR(F12/B12*100,0)</f>
        <v>96.474358974359</v>
      </c>
      <c r="M12" s="18"/>
    </row>
    <row r="13" customFormat="false" ht="27.75" hidden="false" customHeight="true" outlineLevel="0" collapsed="false">
      <c r="B13" s="19"/>
      <c r="C13" s="19"/>
      <c r="D13" s="20"/>
      <c r="E13" s="20"/>
      <c r="F13" s="21"/>
      <c r="G13" s="21"/>
      <c r="H13" s="22"/>
      <c r="I13" s="22"/>
      <c r="J13" s="23"/>
      <c r="K13" s="23"/>
      <c r="L13" s="24"/>
      <c r="M13" s="24"/>
    </row>
    <row r="14" customFormat="false" ht="13.5" hidden="false" customHeight="true" outlineLevel="0" collapsed="false">
      <c r="B14" s="19"/>
      <c r="C14" s="19"/>
      <c r="D14" s="20"/>
      <c r="E14" s="20"/>
      <c r="F14" s="21"/>
      <c r="G14" s="21"/>
      <c r="H14" s="22"/>
      <c r="I14" s="22"/>
      <c r="J14" s="23"/>
      <c r="K14" s="23"/>
      <c r="L14" s="24"/>
      <c r="M14" s="24"/>
    </row>
    <row r="15" customFormat="false" ht="9.75" hidden="false" customHeight="true" outlineLevel="0" collapsed="false"/>
    <row r="16" customFormat="false" ht="19.5" hidden="false" customHeight="true" outlineLevel="0" collapsed="false">
      <c r="B16" s="25" t="s">
        <v>11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customFormat="false" ht="30" hidden="false" customHeight="true" outlineLevel="0" collapsed="false">
      <c r="B17" s="26" t="s">
        <v>12</v>
      </c>
      <c r="C17" s="26" t="s">
        <v>13</v>
      </c>
      <c r="D17" s="26" t="s">
        <v>14</v>
      </c>
      <c r="E17" s="26" t="s">
        <v>6</v>
      </c>
      <c r="F17" s="26" t="s">
        <v>7</v>
      </c>
      <c r="G17" s="26" t="s">
        <v>8</v>
      </c>
      <c r="H17" s="26" t="s">
        <v>9</v>
      </c>
      <c r="I17" s="26" t="s">
        <v>15</v>
      </c>
      <c r="J17" s="26" t="s">
        <v>10</v>
      </c>
      <c r="K17" s="26" t="s">
        <v>16</v>
      </c>
      <c r="L17" s="26" t="s">
        <v>17</v>
      </c>
      <c r="M17" s="26" t="s">
        <v>18</v>
      </c>
    </row>
    <row r="18" customFormat="false" ht="21.75" hidden="false" customHeight="true" outlineLevel="0" collapsed="false">
      <c r="B18" s="27" t="s">
        <v>19</v>
      </c>
      <c r="C18" s="28" t="s">
        <v>20</v>
      </c>
      <c r="D18" s="28" t="n">
        <f aca="false">'📋 ST Results'!C5</f>
        <v>443</v>
      </c>
      <c r="E18" s="28" t="n">
        <f aca="false">'📋 ST Results'!D5</f>
        <v>443</v>
      </c>
      <c r="F18" s="28" t="n">
        <f aca="false">'📋 ST Results'!E5</f>
        <v>427</v>
      </c>
      <c r="G18" s="28" t="n">
        <f aca="false">'📋 ST Results'!F5</f>
        <v>14</v>
      </c>
      <c r="H18" s="28" t="n">
        <f aca="false">'📋 ST Results'!G5</f>
        <v>2</v>
      </c>
      <c r="I18" s="28" t="n">
        <f aca="false">'📋 ST Results'!H5</f>
        <v>0</v>
      </c>
      <c r="J18" s="29" t="n">
        <f aca="false">IFERROR(E18/C18*100,0)</f>
        <v>0</v>
      </c>
      <c r="K18" s="28" t="n">
        <f aca="false">'📋 ST Results'!K5</f>
        <v>16</v>
      </c>
      <c r="L18" s="28" t="n">
        <f aca="false">'📋 ST Results'!L5</f>
        <v>12</v>
      </c>
      <c r="M18" s="28" t="str">
        <f aca="false">'📋 ST Results'!M5</f>
        <v>PASS</v>
      </c>
    </row>
    <row r="19" customFormat="false" ht="21.75" hidden="false" customHeight="true" outlineLevel="0" collapsed="false">
      <c r="B19" s="30" t="s">
        <v>21</v>
      </c>
      <c r="C19" s="31" t="s">
        <v>20</v>
      </c>
      <c r="D19" s="31" t="n">
        <f aca="false">'📋 SIT Results'!C5</f>
        <v>181</v>
      </c>
      <c r="E19" s="31" t="n">
        <f aca="false">'📋 SIT Results'!D5</f>
        <v>181</v>
      </c>
      <c r="F19" s="31" t="n">
        <f aca="false">'📋 SIT Results'!E5</f>
        <v>175</v>
      </c>
      <c r="G19" s="31" t="n">
        <f aca="false">'📋 SIT Results'!F5</f>
        <v>5</v>
      </c>
      <c r="H19" s="31" t="n">
        <f aca="false">'📋 SIT Results'!G5</f>
        <v>1</v>
      </c>
      <c r="I19" s="31" t="n">
        <f aca="false">'📋 SIT Results'!H5</f>
        <v>0</v>
      </c>
      <c r="J19" s="32" t="n">
        <f aca="false">IFERROR(E19/C19*100,0)</f>
        <v>0</v>
      </c>
      <c r="K19" s="31" t="n">
        <f aca="false">'📋 SIT Results'!K5</f>
        <v>6</v>
      </c>
      <c r="L19" s="31" t="n">
        <f aca="false">'📋 SIT Results'!L5</f>
        <v>6</v>
      </c>
      <c r="M19" s="31" t="str">
        <f aca="false">'📋 SIT Results'!M5</f>
        <v>PASS</v>
      </c>
    </row>
    <row r="20" customFormat="false" ht="21.75" hidden="false" customHeight="true" outlineLevel="0" collapsed="false">
      <c r="B20" s="33" t="s">
        <v>22</v>
      </c>
      <c r="C20" s="34" t="s">
        <v>23</v>
      </c>
      <c r="D20" s="34" t="n">
        <f aca="false">SUM(C18:C19)</f>
        <v>0</v>
      </c>
      <c r="E20" s="34" t="n">
        <f aca="false">SUM(D18:D19)</f>
        <v>624</v>
      </c>
      <c r="F20" s="34" t="n">
        <f aca="false">SUM(E18:E19)</f>
        <v>624</v>
      </c>
      <c r="G20" s="34" t="n">
        <f aca="false">SUM(F18:F19)</f>
        <v>602</v>
      </c>
      <c r="H20" s="34" t="n">
        <f aca="false">SUM(G18:G19)</f>
        <v>19</v>
      </c>
      <c r="I20" s="34" t="n">
        <f aca="false">SUM(H18:H19)</f>
        <v>3</v>
      </c>
      <c r="J20" s="35" t="n">
        <f aca="false">IFERROR(SUM(E18:E19)/SUM(C18:C19)*100,0)</f>
        <v>0</v>
      </c>
      <c r="K20" s="34" t="n">
        <f aca="false">SUM(J18:J19)</f>
        <v>0</v>
      </c>
      <c r="L20" s="34" t="n">
        <f aca="false">SUM(K18:K19)</f>
        <v>22</v>
      </c>
      <c r="M20" s="34" t="s">
        <v>24</v>
      </c>
    </row>
    <row r="21" customFormat="false" ht="9.75" hidden="false" customHeight="true" outlineLevel="0" collapsed="false"/>
    <row r="22" customFormat="false" ht="19.5" hidden="false" customHeight="true" outlineLevel="0" collapsed="false">
      <c r="B22" s="25" t="s">
        <v>25</v>
      </c>
      <c r="C22" s="25"/>
      <c r="D22" s="25"/>
      <c r="E22" s="25"/>
      <c r="F22" s="25"/>
      <c r="G22" s="25"/>
      <c r="H22" s="25"/>
      <c r="I22" s="25"/>
    </row>
    <row r="23" customFormat="false" ht="27.75" hidden="false" customHeight="true" outlineLevel="0" collapsed="false">
      <c r="B23" s="36" t="s">
        <v>26</v>
      </c>
      <c r="C23" s="36" t="s">
        <v>27</v>
      </c>
      <c r="D23" s="36" t="s">
        <v>28</v>
      </c>
      <c r="E23" s="36" t="s">
        <v>29</v>
      </c>
      <c r="F23" s="36" t="s">
        <v>30</v>
      </c>
      <c r="G23" s="36" t="s">
        <v>31</v>
      </c>
      <c r="H23" s="36" t="s">
        <v>32</v>
      </c>
      <c r="I23" s="36" t="s">
        <v>33</v>
      </c>
    </row>
    <row r="24" customFormat="false" ht="24" hidden="false" customHeight="true" outlineLevel="0" collapsed="false">
      <c r="B24" s="37" t="s">
        <v>34</v>
      </c>
      <c r="C24" s="38" t="s">
        <v>35</v>
      </c>
      <c r="D24" s="39" t="n">
        <f aca="false">IFERROR('📋 ST Results'!P7,0)</f>
        <v>95.2380952380952</v>
      </c>
      <c r="E24" s="38" t="s">
        <v>36</v>
      </c>
      <c r="F24" s="38" t="s">
        <v>36</v>
      </c>
      <c r="G24" s="38" t="n">
        <f aca="false">COUNTA('🔴 Outstanding Issues'!B4:B20)</f>
        <v>14</v>
      </c>
      <c r="H24" s="38" t="s">
        <v>37</v>
      </c>
      <c r="I24" s="40" t="s">
        <v>38</v>
      </c>
    </row>
    <row r="25" customFormat="false" ht="24" hidden="false" customHeight="true" outlineLevel="0" collapsed="false">
      <c r="B25" s="41" t="s">
        <v>39</v>
      </c>
      <c r="C25" s="42" t="s">
        <v>40</v>
      </c>
      <c r="D25" s="43" t="n">
        <f aca="false">IFERROR('📋 ST Results'!P14,0)</f>
        <v>95.8333333333333</v>
      </c>
      <c r="E25" s="42" t="s">
        <v>36</v>
      </c>
      <c r="F25" s="42" t="s">
        <v>36</v>
      </c>
      <c r="G25" s="42" t="n">
        <f aca="false">COUNTA('🔴 Outstanding Issues'!B21:B30)</f>
        <v>0</v>
      </c>
      <c r="H25" s="42" t="s">
        <v>37</v>
      </c>
      <c r="I25" s="40" t="s">
        <v>38</v>
      </c>
    </row>
    <row r="26" customFormat="false" ht="9.75" hidden="false" customHeight="true" outlineLevel="0" collapsed="false"/>
    <row r="27" customFormat="false" ht="19.5" hidden="false" customHeight="true" outlineLevel="0" collapsed="false">
      <c r="B27" s="25" t="s">
        <v>41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customFormat="false" ht="24.75" hidden="false" customHeight="true" outlineLevel="0" collapsed="false">
      <c r="B28" s="44" t="s">
        <v>42</v>
      </c>
      <c r="C28" s="44" t="s">
        <v>43</v>
      </c>
      <c r="D28" s="44" t="s">
        <v>44</v>
      </c>
      <c r="E28" s="44" t="s">
        <v>45</v>
      </c>
      <c r="F28" s="44" t="s">
        <v>18</v>
      </c>
      <c r="G28" s="44" t="s">
        <v>46</v>
      </c>
      <c r="H28" s="44"/>
      <c r="I28" s="44"/>
      <c r="J28" s="45"/>
      <c r="K28" s="45"/>
      <c r="L28" s="45"/>
      <c r="M28" s="45"/>
    </row>
    <row r="29" customFormat="false" ht="19.5" hidden="false" customHeight="true" outlineLevel="0" collapsed="false">
      <c r="B29" s="28" t="n">
        <v>1</v>
      </c>
      <c r="C29" s="27" t="s">
        <v>47</v>
      </c>
      <c r="D29" s="28" t="s">
        <v>48</v>
      </c>
      <c r="E29" s="29" t="n">
        <f aca="false">IFERROR(SUM('📋 ST Results'!E5,'📋 SIT Results'!E5)/SUM('📋 ST Results'!C5,'📋 SIT Results'!C5)*100,0)</f>
        <v>96.474358974359</v>
      </c>
      <c r="F29" s="46" t="s">
        <v>49</v>
      </c>
      <c r="G29" s="28" t="s">
        <v>50</v>
      </c>
      <c r="H29" s="47"/>
      <c r="I29" s="47"/>
      <c r="J29" s="47"/>
    </row>
    <row r="30" customFormat="false" ht="19.5" hidden="false" customHeight="true" outlineLevel="0" collapsed="false">
      <c r="B30" s="48" t="n">
        <v>2</v>
      </c>
      <c r="C30" s="49" t="s">
        <v>51</v>
      </c>
      <c r="D30" s="48" t="s">
        <v>52</v>
      </c>
      <c r="E30" s="50" t="n">
        <f aca="false">COUNTIFS('🐛 Defect Tracker'!F6:F200,"P1",'🐛 Defect Tracker'!H6:H200,"Open")</f>
        <v>0</v>
      </c>
      <c r="F30" s="46" t="s">
        <v>49</v>
      </c>
      <c r="G30" s="48" t="s">
        <v>53</v>
      </c>
      <c r="H30" s="51"/>
      <c r="I30" s="51"/>
      <c r="J30" s="51"/>
    </row>
    <row r="31" customFormat="false" ht="19.5" hidden="false" customHeight="true" outlineLevel="0" collapsed="false">
      <c r="B31" s="28" t="n">
        <v>3</v>
      </c>
      <c r="C31" s="27" t="s">
        <v>54</v>
      </c>
      <c r="D31" s="28" t="s">
        <v>55</v>
      </c>
      <c r="E31" s="29" t="n">
        <f aca="false">COUNTIFS('🐛 Defect Tracker'!F6:F200,"P2",'🐛 Defect Tracker'!H6:H200,"Open")</f>
        <v>0</v>
      </c>
      <c r="F31" s="46" t="s">
        <v>49</v>
      </c>
      <c r="G31" s="28" t="s">
        <v>53</v>
      </c>
      <c r="H31" s="47"/>
      <c r="I31" s="47"/>
      <c r="J31" s="47"/>
    </row>
    <row r="32" customFormat="false" ht="19.5" hidden="false" customHeight="true" outlineLevel="0" collapsed="false">
      <c r="B32" s="48" t="n">
        <v>4</v>
      </c>
      <c r="C32" s="49" t="s">
        <v>56</v>
      </c>
      <c r="D32" s="48" t="s">
        <v>57</v>
      </c>
      <c r="E32" s="50" t="n">
        <f aca="false">IFERROR(SUM('📋 ST Results'!D5,'📋 SIT Results'!D5)/SUM('📋 ST Results'!C5,'📋 SIT Results'!C5)*100,0)</f>
        <v>100</v>
      </c>
      <c r="F32" s="46" t="s">
        <v>49</v>
      </c>
      <c r="G32" s="48" t="s">
        <v>50</v>
      </c>
      <c r="H32" s="51"/>
      <c r="I32" s="51"/>
      <c r="J32" s="51"/>
    </row>
    <row r="33" customFormat="false" ht="19.5" hidden="false" customHeight="true" outlineLevel="0" collapsed="false">
      <c r="B33" s="28" t="n">
        <v>5</v>
      </c>
      <c r="C33" s="27" t="s">
        <v>58</v>
      </c>
      <c r="D33" s="28" t="s">
        <v>59</v>
      </c>
      <c r="E33" s="28" t="s">
        <v>60</v>
      </c>
      <c r="F33" s="46" t="s">
        <v>49</v>
      </c>
      <c r="G33" s="28" t="s">
        <v>61</v>
      </c>
      <c r="H33" s="47"/>
      <c r="I33" s="47"/>
      <c r="J33" s="47"/>
    </row>
    <row r="34" customFormat="false" ht="19.5" hidden="false" customHeight="true" outlineLevel="0" collapsed="false">
      <c r="B34" s="48" t="n">
        <v>6</v>
      </c>
      <c r="C34" s="49" t="s">
        <v>62</v>
      </c>
      <c r="D34" s="48" t="s">
        <v>59</v>
      </c>
      <c r="E34" s="48" t="s">
        <v>60</v>
      </c>
      <c r="F34" s="46" t="s">
        <v>49</v>
      </c>
      <c r="G34" s="48" t="s">
        <v>61</v>
      </c>
      <c r="H34" s="51"/>
      <c r="I34" s="51"/>
      <c r="J34" s="51"/>
    </row>
    <row r="35" customFormat="false" ht="19.5" hidden="false" customHeight="true" outlineLevel="0" collapsed="false">
      <c r="B35" s="28" t="n">
        <v>7</v>
      </c>
      <c r="C35" s="27" t="s">
        <v>63</v>
      </c>
      <c r="D35" s="28" t="s">
        <v>59</v>
      </c>
      <c r="E35" s="28" t="s">
        <v>60</v>
      </c>
      <c r="F35" s="46" t="s">
        <v>49</v>
      </c>
      <c r="G35" s="28" t="s">
        <v>64</v>
      </c>
      <c r="H35" s="47"/>
      <c r="I35" s="47"/>
      <c r="J35" s="47"/>
    </row>
    <row r="36" customFormat="false" ht="19.5" hidden="false" customHeight="true" outlineLevel="0" collapsed="false">
      <c r="B36" s="48" t="n">
        <v>8</v>
      </c>
      <c r="C36" s="49" t="s">
        <v>65</v>
      </c>
      <c r="D36" s="48" t="s">
        <v>66</v>
      </c>
      <c r="E36" s="48" t="s">
        <v>60</v>
      </c>
      <c r="F36" s="46" t="s">
        <v>49</v>
      </c>
      <c r="G36" s="48" t="s">
        <v>67</v>
      </c>
      <c r="H36" s="51"/>
      <c r="I36" s="51"/>
      <c r="J36" s="51"/>
    </row>
    <row r="37" customFormat="false" ht="19.5" hidden="false" customHeight="true" outlineLevel="0" collapsed="false">
      <c r="B37" s="28" t="n">
        <v>9</v>
      </c>
      <c r="C37" s="27" t="s">
        <v>68</v>
      </c>
      <c r="D37" s="28" t="s">
        <v>69</v>
      </c>
      <c r="E37" s="28" t="s">
        <v>60</v>
      </c>
      <c r="F37" s="46" t="s">
        <v>49</v>
      </c>
      <c r="G37" s="28" t="s">
        <v>70</v>
      </c>
      <c r="H37" s="47"/>
      <c r="I37" s="47"/>
      <c r="J37" s="47"/>
    </row>
    <row r="38" customFormat="false" ht="19.5" hidden="false" customHeight="true" outlineLevel="0" collapsed="false">
      <c r="B38" s="48" t="n">
        <v>10</v>
      </c>
      <c r="C38" s="49" t="s">
        <v>71</v>
      </c>
      <c r="D38" s="48" t="s">
        <v>59</v>
      </c>
      <c r="E38" s="48" t="s">
        <v>60</v>
      </c>
      <c r="F38" s="46" t="s">
        <v>49</v>
      </c>
      <c r="G38" s="48" t="s">
        <v>72</v>
      </c>
      <c r="H38" s="51"/>
      <c r="I38" s="51"/>
      <c r="J38" s="51"/>
    </row>
  </sheetData>
  <mergeCells count="44">
    <mergeCell ref="B1:N2"/>
    <mergeCell ref="B3:N3"/>
    <mergeCell ref="B4:H4"/>
    <mergeCell ref="I4:N4"/>
    <mergeCell ref="B7:N9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6:M16"/>
    <mergeCell ref="B22:I22"/>
    <mergeCell ref="B27:M27"/>
    <mergeCell ref="G28:I28"/>
    <mergeCell ref="J28:M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FA5"/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7" min="5" style="0" width="18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/>
      <c r="B1" s="52" t="s">
        <v>73</v>
      </c>
      <c r="C1" s="52"/>
      <c r="D1" s="52"/>
      <c r="E1" s="52"/>
      <c r="F1" s="52"/>
      <c r="G1" s="52"/>
      <c r="H1" s="52"/>
      <c r="I1" s="52"/>
      <c r="J1" s="1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1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1"/>
    </row>
    <row r="4" customFormat="false" ht="15" hidden="false" customHeight="false" outlineLevel="0" collapsed="false">
      <c r="A4" s="1"/>
      <c r="B4" s="53" t="s">
        <v>74</v>
      </c>
      <c r="C4" s="53"/>
      <c r="D4" s="53"/>
      <c r="E4" s="53"/>
      <c r="F4" s="53"/>
      <c r="G4" s="53"/>
      <c r="H4" s="53"/>
      <c r="I4" s="53"/>
      <c r="J4" s="1"/>
    </row>
    <row r="5" customFormat="false" ht="7.5" hidden="false" customHeight="true" outlineLevel="0" collapsed="false"/>
    <row r="6" customFormat="false" ht="19.5" hidden="false" customHeight="true" outlineLevel="0" collapsed="false">
      <c r="B6" s="54" t="s">
        <v>75</v>
      </c>
      <c r="C6" s="54"/>
      <c r="D6" s="54"/>
      <c r="E6" s="54"/>
      <c r="F6" s="54"/>
      <c r="G6" s="54"/>
      <c r="H6" s="54"/>
      <c r="I6" s="54"/>
    </row>
    <row r="7" customFormat="false" ht="24" hidden="false" customHeight="true" outlineLevel="0" collapsed="false">
      <c r="B7" s="26" t="s">
        <v>42</v>
      </c>
      <c r="C7" s="26" t="s">
        <v>76</v>
      </c>
      <c r="D7" s="26"/>
      <c r="E7" s="26" t="s">
        <v>46</v>
      </c>
      <c r="F7" s="26" t="s">
        <v>77</v>
      </c>
      <c r="G7" s="26" t="s">
        <v>18</v>
      </c>
    </row>
    <row r="8" customFormat="false" ht="21.75" hidden="false" customHeight="true" outlineLevel="0" collapsed="false">
      <c r="B8" s="28" t="n">
        <v>1</v>
      </c>
      <c r="C8" s="55" t="s">
        <v>78</v>
      </c>
      <c r="D8" s="56" t="s">
        <v>79</v>
      </c>
      <c r="E8" s="56"/>
      <c r="F8" s="28" t="s">
        <v>50</v>
      </c>
      <c r="G8" s="57" t="s">
        <v>80</v>
      </c>
      <c r="H8" s="46" t="s">
        <v>49</v>
      </c>
      <c r="I8" s="46"/>
    </row>
    <row r="9" customFormat="false" ht="21.75" hidden="false" customHeight="true" outlineLevel="0" collapsed="false">
      <c r="B9" s="31" t="n">
        <v>2</v>
      </c>
      <c r="C9" s="58" t="s">
        <v>81</v>
      </c>
      <c r="D9" s="59" t="s">
        <v>82</v>
      </c>
      <c r="E9" s="59"/>
      <c r="F9" s="31" t="s">
        <v>53</v>
      </c>
      <c r="G9" s="60" t="s">
        <v>80</v>
      </c>
      <c r="H9" s="46" t="s">
        <v>49</v>
      </c>
      <c r="I9" s="46"/>
    </row>
    <row r="10" customFormat="false" ht="21.75" hidden="false" customHeight="true" outlineLevel="0" collapsed="false">
      <c r="B10" s="28" t="n">
        <v>3</v>
      </c>
      <c r="C10" s="55" t="s">
        <v>83</v>
      </c>
      <c r="D10" s="56" t="s">
        <v>84</v>
      </c>
      <c r="E10" s="56"/>
      <c r="F10" s="28" t="s">
        <v>85</v>
      </c>
      <c r="G10" s="57" t="s">
        <v>80</v>
      </c>
      <c r="H10" s="46" t="s">
        <v>49</v>
      </c>
      <c r="I10" s="46"/>
    </row>
    <row r="11" customFormat="false" ht="21.75" hidden="false" customHeight="true" outlineLevel="0" collapsed="false">
      <c r="B11" s="31" t="n">
        <v>4</v>
      </c>
      <c r="C11" s="58" t="s">
        <v>86</v>
      </c>
      <c r="D11" s="59" t="s">
        <v>87</v>
      </c>
      <c r="E11" s="59"/>
      <c r="F11" s="31" t="s">
        <v>88</v>
      </c>
      <c r="G11" s="60" t="s">
        <v>80</v>
      </c>
      <c r="H11" s="46" t="s">
        <v>49</v>
      </c>
      <c r="I11" s="46"/>
    </row>
    <row r="12" customFormat="false" ht="21.75" hidden="false" customHeight="true" outlineLevel="0" collapsed="false">
      <c r="B12" s="28" t="n">
        <v>5</v>
      </c>
      <c r="C12" s="55" t="s">
        <v>89</v>
      </c>
      <c r="D12" s="56" t="s">
        <v>90</v>
      </c>
      <c r="E12" s="56"/>
      <c r="F12" s="28" t="s">
        <v>53</v>
      </c>
      <c r="G12" s="57" t="s">
        <v>80</v>
      </c>
      <c r="H12" s="46" t="s">
        <v>49</v>
      </c>
      <c r="I12" s="46"/>
    </row>
    <row r="13" customFormat="false" ht="21.75" hidden="false" customHeight="true" outlineLevel="0" collapsed="false">
      <c r="B13" s="31" t="n">
        <v>6</v>
      </c>
      <c r="C13" s="58" t="s">
        <v>91</v>
      </c>
      <c r="D13" s="59" t="s">
        <v>92</v>
      </c>
      <c r="E13" s="59"/>
      <c r="F13" s="31" t="s">
        <v>53</v>
      </c>
      <c r="G13" s="60" t="s">
        <v>80</v>
      </c>
      <c r="H13" s="46" t="s">
        <v>49</v>
      </c>
      <c r="I13" s="46"/>
    </row>
    <row r="14" customFormat="false" ht="21.75" hidden="false" customHeight="true" outlineLevel="0" collapsed="false">
      <c r="B14" s="28" t="n">
        <v>7</v>
      </c>
      <c r="C14" s="55" t="s">
        <v>93</v>
      </c>
      <c r="D14" s="56" t="s">
        <v>94</v>
      </c>
      <c r="E14" s="56"/>
      <c r="F14" s="28" t="s">
        <v>95</v>
      </c>
      <c r="G14" s="57" t="s">
        <v>80</v>
      </c>
      <c r="H14" s="46" t="s">
        <v>49</v>
      </c>
      <c r="I14" s="46"/>
    </row>
    <row r="15" customFormat="false" ht="21.75" hidden="false" customHeight="true" outlineLevel="0" collapsed="false">
      <c r="B15" s="31" t="n">
        <v>8</v>
      </c>
      <c r="C15" s="58" t="s">
        <v>96</v>
      </c>
      <c r="D15" s="59" t="s">
        <v>97</v>
      </c>
      <c r="E15" s="59"/>
      <c r="F15" s="31" t="s">
        <v>50</v>
      </c>
      <c r="G15" s="60" t="s">
        <v>80</v>
      </c>
      <c r="H15" s="46" t="s">
        <v>49</v>
      </c>
      <c r="I15" s="46"/>
    </row>
    <row r="17" customFormat="false" ht="19.5" hidden="false" customHeight="true" outlineLevel="0" collapsed="false">
      <c r="B17" s="61" t="s">
        <v>98</v>
      </c>
      <c r="C17" s="61"/>
      <c r="D17" s="61"/>
      <c r="E17" s="61"/>
      <c r="F17" s="61"/>
      <c r="G17" s="61"/>
      <c r="H17" s="61"/>
      <c r="I17" s="61"/>
    </row>
    <row r="18" customFormat="false" ht="24" hidden="false" customHeight="true" outlineLevel="0" collapsed="false">
      <c r="B18" s="36" t="s">
        <v>42</v>
      </c>
      <c r="C18" s="36" t="s">
        <v>76</v>
      </c>
      <c r="D18" s="36"/>
      <c r="E18" s="36" t="s">
        <v>46</v>
      </c>
      <c r="F18" s="36" t="s">
        <v>77</v>
      </c>
      <c r="G18" s="36" t="s">
        <v>18</v>
      </c>
    </row>
    <row r="19" customFormat="false" ht="21.75" hidden="false" customHeight="true" outlineLevel="0" collapsed="false">
      <c r="B19" s="28" t="n">
        <v>1</v>
      </c>
      <c r="C19" s="55" t="s">
        <v>99</v>
      </c>
      <c r="D19" s="56" t="s">
        <v>100</v>
      </c>
      <c r="E19" s="56"/>
      <c r="F19" s="28" t="s">
        <v>50</v>
      </c>
      <c r="G19" s="57" t="s">
        <v>80</v>
      </c>
      <c r="H19" s="46" t="s">
        <v>49</v>
      </c>
      <c r="I19" s="46"/>
    </row>
    <row r="20" customFormat="false" ht="21.75" hidden="false" customHeight="true" outlineLevel="0" collapsed="false">
      <c r="B20" s="62" t="n">
        <v>2</v>
      </c>
      <c r="C20" s="63" t="s">
        <v>101</v>
      </c>
      <c r="D20" s="64" t="s">
        <v>102</v>
      </c>
      <c r="E20" s="64"/>
      <c r="F20" s="62" t="s">
        <v>50</v>
      </c>
      <c r="G20" s="65" t="s">
        <v>80</v>
      </c>
      <c r="H20" s="46" t="s">
        <v>49</v>
      </c>
      <c r="I20" s="46"/>
    </row>
    <row r="21" customFormat="false" ht="21.75" hidden="false" customHeight="true" outlineLevel="0" collapsed="false">
      <c r="B21" s="28" t="n">
        <v>3</v>
      </c>
      <c r="C21" s="55" t="s">
        <v>103</v>
      </c>
      <c r="D21" s="56" t="s">
        <v>104</v>
      </c>
      <c r="E21" s="56"/>
      <c r="F21" s="28" t="s">
        <v>53</v>
      </c>
      <c r="G21" s="57" t="s">
        <v>80</v>
      </c>
      <c r="H21" s="46" t="s">
        <v>49</v>
      </c>
      <c r="I21" s="46"/>
    </row>
    <row r="22" customFormat="false" ht="21.75" hidden="false" customHeight="true" outlineLevel="0" collapsed="false">
      <c r="B22" s="62" t="n">
        <v>4</v>
      </c>
      <c r="C22" s="63" t="s">
        <v>105</v>
      </c>
      <c r="D22" s="64" t="s">
        <v>106</v>
      </c>
      <c r="E22" s="64"/>
      <c r="F22" s="62" t="s">
        <v>53</v>
      </c>
      <c r="G22" s="65" t="s">
        <v>80</v>
      </c>
      <c r="H22" s="46" t="s">
        <v>49</v>
      </c>
      <c r="I22" s="46"/>
    </row>
    <row r="23" customFormat="false" ht="21.75" hidden="false" customHeight="true" outlineLevel="0" collapsed="false">
      <c r="B23" s="28" t="n">
        <v>5</v>
      </c>
      <c r="C23" s="55" t="s">
        <v>107</v>
      </c>
      <c r="D23" s="56" t="s">
        <v>108</v>
      </c>
      <c r="E23" s="56"/>
      <c r="F23" s="28" t="s">
        <v>88</v>
      </c>
      <c r="G23" s="57" t="s">
        <v>80</v>
      </c>
      <c r="H23" s="46" t="s">
        <v>49</v>
      </c>
      <c r="I23" s="46"/>
    </row>
    <row r="24" customFormat="false" ht="21.75" hidden="false" customHeight="true" outlineLevel="0" collapsed="false">
      <c r="B24" s="62" t="n">
        <v>6</v>
      </c>
      <c r="C24" s="63" t="s">
        <v>109</v>
      </c>
      <c r="D24" s="64" t="s">
        <v>110</v>
      </c>
      <c r="E24" s="64"/>
      <c r="F24" s="62" t="s">
        <v>50</v>
      </c>
      <c r="G24" s="65" t="s">
        <v>80</v>
      </c>
      <c r="H24" s="46" t="s">
        <v>49</v>
      </c>
      <c r="I24" s="46"/>
    </row>
    <row r="25" customFormat="false" ht="21.75" hidden="false" customHeight="true" outlineLevel="0" collapsed="false">
      <c r="B25" s="28" t="n">
        <v>7</v>
      </c>
      <c r="C25" s="55" t="s">
        <v>111</v>
      </c>
      <c r="D25" s="56" t="s">
        <v>112</v>
      </c>
      <c r="E25" s="56"/>
      <c r="F25" s="28" t="s">
        <v>61</v>
      </c>
      <c r="G25" s="57" t="s">
        <v>80</v>
      </c>
      <c r="H25" s="46" t="s">
        <v>49</v>
      </c>
      <c r="I25" s="46"/>
    </row>
    <row r="27" customFormat="false" ht="19.5" hidden="false" customHeight="true" outlineLevel="0" collapsed="false">
      <c r="B27" s="66" t="s">
        <v>113</v>
      </c>
      <c r="C27" s="66"/>
      <c r="D27" s="66"/>
      <c r="E27" s="66"/>
      <c r="F27" s="66"/>
      <c r="G27" s="66"/>
      <c r="H27" s="66"/>
      <c r="I27" s="66"/>
    </row>
    <row r="28" customFormat="false" ht="24" hidden="false" customHeight="true" outlineLevel="0" collapsed="false">
      <c r="B28" s="67" t="s">
        <v>42</v>
      </c>
      <c r="C28" s="67" t="s">
        <v>76</v>
      </c>
      <c r="D28" s="67"/>
      <c r="E28" s="67" t="s">
        <v>46</v>
      </c>
      <c r="F28" s="67" t="s">
        <v>77</v>
      </c>
      <c r="G28" s="67" t="s">
        <v>18</v>
      </c>
    </row>
    <row r="29" customFormat="false" ht="21.75" hidden="false" customHeight="true" outlineLevel="0" collapsed="false">
      <c r="B29" s="28" t="n">
        <v>1</v>
      </c>
      <c r="C29" s="55" t="s">
        <v>114</v>
      </c>
      <c r="D29" s="56" t="s">
        <v>115</v>
      </c>
      <c r="E29" s="56"/>
      <c r="F29" s="28" t="s">
        <v>61</v>
      </c>
      <c r="G29" s="57" t="s">
        <v>80</v>
      </c>
      <c r="H29" s="46" t="s">
        <v>49</v>
      </c>
      <c r="I29" s="46"/>
    </row>
    <row r="30" customFormat="false" ht="21.75" hidden="false" customHeight="true" outlineLevel="0" collapsed="false">
      <c r="B30" s="68" t="n">
        <v>2</v>
      </c>
      <c r="C30" s="69" t="s">
        <v>116</v>
      </c>
      <c r="D30" s="70" t="s">
        <v>117</v>
      </c>
      <c r="E30" s="70"/>
      <c r="F30" s="68" t="s">
        <v>95</v>
      </c>
      <c r="G30" s="71" t="s">
        <v>80</v>
      </c>
      <c r="H30" s="46" t="s">
        <v>49</v>
      </c>
      <c r="I30" s="46"/>
    </row>
    <row r="31" customFormat="false" ht="21.75" hidden="false" customHeight="true" outlineLevel="0" collapsed="false">
      <c r="B31" s="28" t="n">
        <v>3</v>
      </c>
      <c r="C31" s="55" t="s">
        <v>118</v>
      </c>
      <c r="D31" s="56" t="s">
        <v>119</v>
      </c>
      <c r="E31" s="56"/>
      <c r="F31" s="28" t="s">
        <v>50</v>
      </c>
      <c r="G31" s="57" t="s">
        <v>80</v>
      </c>
      <c r="H31" s="46" t="s">
        <v>49</v>
      </c>
      <c r="I31" s="46"/>
    </row>
    <row r="32" customFormat="false" ht="21.75" hidden="false" customHeight="true" outlineLevel="0" collapsed="false">
      <c r="B32" s="68" t="n">
        <v>4</v>
      </c>
      <c r="C32" s="69" t="s">
        <v>120</v>
      </c>
      <c r="D32" s="70" t="s">
        <v>121</v>
      </c>
      <c r="E32" s="70"/>
      <c r="F32" s="68" t="s">
        <v>122</v>
      </c>
      <c r="G32" s="71" t="s">
        <v>80</v>
      </c>
      <c r="H32" s="46" t="s">
        <v>49</v>
      </c>
      <c r="I32" s="46"/>
    </row>
    <row r="33" customFormat="false" ht="21.75" hidden="false" customHeight="true" outlineLevel="0" collapsed="false">
      <c r="B33" s="28" t="n">
        <v>5</v>
      </c>
      <c r="C33" s="55" t="s">
        <v>123</v>
      </c>
      <c r="D33" s="56" t="s">
        <v>124</v>
      </c>
      <c r="E33" s="56"/>
      <c r="F33" s="28" t="s">
        <v>53</v>
      </c>
      <c r="G33" s="57" t="s">
        <v>80</v>
      </c>
      <c r="H33" s="46" t="s">
        <v>49</v>
      </c>
      <c r="I33" s="46"/>
    </row>
    <row r="34" customFormat="false" ht="21.75" hidden="false" customHeight="true" outlineLevel="0" collapsed="false">
      <c r="B34" s="68" t="n">
        <v>6</v>
      </c>
      <c r="C34" s="69" t="s">
        <v>125</v>
      </c>
      <c r="D34" s="70" t="s">
        <v>126</v>
      </c>
      <c r="E34" s="70"/>
      <c r="F34" s="68" t="s">
        <v>67</v>
      </c>
      <c r="G34" s="71" t="s">
        <v>80</v>
      </c>
      <c r="H34" s="46" t="s">
        <v>49</v>
      </c>
      <c r="I34" s="46"/>
    </row>
    <row r="35" customFormat="false" ht="21.75" hidden="false" customHeight="true" outlineLevel="0" collapsed="false">
      <c r="B35" s="28" t="n">
        <v>7</v>
      </c>
      <c r="C35" s="55" t="s">
        <v>127</v>
      </c>
      <c r="D35" s="56" t="s">
        <v>128</v>
      </c>
      <c r="E35" s="56"/>
      <c r="F35" s="28" t="s">
        <v>70</v>
      </c>
      <c r="G35" s="57" t="s">
        <v>80</v>
      </c>
      <c r="H35" s="46" t="s">
        <v>49</v>
      </c>
      <c r="I35" s="46"/>
    </row>
    <row r="37" customFormat="false" ht="19.5" hidden="false" customHeight="true" outlineLevel="0" collapsed="false">
      <c r="B37" s="72" t="s">
        <v>129</v>
      </c>
      <c r="C37" s="72"/>
      <c r="D37" s="72"/>
      <c r="E37" s="72"/>
      <c r="F37" s="72"/>
      <c r="G37" s="72"/>
      <c r="H37" s="72"/>
      <c r="I37" s="72"/>
    </row>
    <row r="38" customFormat="false" ht="24" hidden="false" customHeight="true" outlineLevel="0" collapsed="false">
      <c r="B38" s="44" t="s">
        <v>42</v>
      </c>
      <c r="C38" s="44" t="s">
        <v>76</v>
      </c>
      <c r="D38" s="44"/>
      <c r="E38" s="44" t="s">
        <v>46</v>
      </c>
      <c r="F38" s="44" t="s">
        <v>77</v>
      </c>
      <c r="G38" s="44" t="s">
        <v>18</v>
      </c>
    </row>
    <row r="39" customFormat="false" ht="21.75" hidden="false" customHeight="true" outlineLevel="0" collapsed="false">
      <c r="B39" s="28" t="n">
        <v>1</v>
      </c>
      <c r="C39" s="55" t="s">
        <v>130</v>
      </c>
      <c r="D39" s="56" t="s">
        <v>131</v>
      </c>
      <c r="E39" s="56"/>
      <c r="F39" s="28" t="s">
        <v>50</v>
      </c>
      <c r="G39" s="57" t="s">
        <v>80</v>
      </c>
      <c r="H39" s="46" t="s">
        <v>49</v>
      </c>
      <c r="I39" s="46"/>
    </row>
    <row r="40" customFormat="false" ht="21.75" hidden="false" customHeight="true" outlineLevel="0" collapsed="false">
      <c r="B40" s="48" t="n">
        <v>2</v>
      </c>
      <c r="C40" s="34" t="s">
        <v>132</v>
      </c>
      <c r="D40" s="73" t="s">
        <v>133</v>
      </c>
      <c r="E40" s="73"/>
      <c r="F40" s="48" t="s">
        <v>50</v>
      </c>
      <c r="G40" s="74" t="s">
        <v>80</v>
      </c>
      <c r="H40" s="46" t="s">
        <v>49</v>
      </c>
      <c r="I40" s="46"/>
    </row>
    <row r="41" customFormat="false" ht="21.75" hidden="false" customHeight="true" outlineLevel="0" collapsed="false">
      <c r="B41" s="28" t="n">
        <v>3</v>
      </c>
      <c r="C41" s="55" t="s">
        <v>134</v>
      </c>
      <c r="D41" s="56" t="s">
        <v>135</v>
      </c>
      <c r="E41" s="56"/>
      <c r="F41" s="28" t="s">
        <v>53</v>
      </c>
      <c r="G41" s="57" t="s">
        <v>80</v>
      </c>
      <c r="H41" s="46" t="s">
        <v>49</v>
      </c>
      <c r="I41" s="46"/>
    </row>
    <row r="42" customFormat="false" ht="21.75" hidden="false" customHeight="true" outlineLevel="0" collapsed="false">
      <c r="B42" s="48" t="n">
        <v>4</v>
      </c>
      <c r="C42" s="34" t="s">
        <v>136</v>
      </c>
      <c r="D42" s="73" t="s">
        <v>137</v>
      </c>
      <c r="E42" s="73"/>
      <c r="F42" s="48" t="s">
        <v>67</v>
      </c>
      <c r="G42" s="74" t="s">
        <v>80</v>
      </c>
      <c r="H42" s="46" t="s">
        <v>49</v>
      </c>
      <c r="I42" s="46"/>
    </row>
    <row r="43" customFormat="false" ht="21.75" hidden="false" customHeight="true" outlineLevel="0" collapsed="false">
      <c r="B43" s="28" t="n">
        <v>5</v>
      </c>
      <c r="C43" s="55" t="s">
        <v>138</v>
      </c>
      <c r="D43" s="56" t="s">
        <v>139</v>
      </c>
      <c r="E43" s="56"/>
      <c r="F43" s="28" t="s">
        <v>70</v>
      </c>
      <c r="G43" s="57" t="s">
        <v>80</v>
      </c>
      <c r="H43" s="46" t="s">
        <v>49</v>
      </c>
      <c r="I43" s="46"/>
    </row>
    <row r="44" customFormat="false" ht="21.75" hidden="false" customHeight="true" outlineLevel="0" collapsed="false">
      <c r="B44" s="48" t="n">
        <v>6</v>
      </c>
      <c r="C44" s="34" t="s">
        <v>140</v>
      </c>
      <c r="D44" s="73" t="s">
        <v>141</v>
      </c>
      <c r="E44" s="73"/>
      <c r="F44" s="48" t="s">
        <v>50</v>
      </c>
      <c r="G44" s="74" t="s">
        <v>80</v>
      </c>
      <c r="H44" s="46" t="s">
        <v>49</v>
      </c>
      <c r="I44" s="46"/>
    </row>
    <row r="45" customFormat="false" ht="21.75" hidden="false" customHeight="true" outlineLevel="0" collapsed="false">
      <c r="B45" s="28" t="n">
        <v>7</v>
      </c>
      <c r="C45" s="55" t="s">
        <v>142</v>
      </c>
      <c r="D45" s="56" t="s">
        <v>143</v>
      </c>
      <c r="E45" s="56"/>
      <c r="F45" s="28" t="s">
        <v>61</v>
      </c>
      <c r="G45" s="57" t="s">
        <v>80</v>
      </c>
      <c r="H45" s="46" t="s">
        <v>49</v>
      </c>
      <c r="I45" s="46"/>
    </row>
    <row r="46" customFormat="false" ht="21.75" hidden="false" customHeight="true" outlineLevel="0" collapsed="false">
      <c r="B46" s="48" t="n">
        <v>8</v>
      </c>
      <c r="C46" s="34" t="s">
        <v>144</v>
      </c>
      <c r="D46" s="73" t="s">
        <v>145</v>
      </c>
      <c r="E46" s="73"/>
      <c r="F46" s="48" t="s">
        <v>146</v>
      </c>
      <c r="G46" s="74" t="s">
        <v>80</v>
      </c>
      <c r="H46" s="46" t="s">
        <v>49</v>
      </c>
      <c r="I46" s="46"/>
    </row>
  </sheetData>
  <mergeCells count="70">
    <mergeCell ref="B1:I3"/>
    <mergeCell ref="B4:I4"/>
    <mergeCell ref="B6:I6"/>
    <mergeCell ref="C7:D7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D13:E13"/>
    <mergeCell ref="H13:I13"/>
    <mergeCell ref="D14:E14"/>
    <mergeCell ref="H14:I14"/>
    <mergeCell ref="D15:E15"/>
    <mergeCell ref="H15:I15"/>
    <mergeCell ref="B17:I17"/>
    <mergeCell ref="C18:D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B27:I27"/>
    <mergeCell ref="C28:D28"/>
    <mergeCell ref="D29:E29"/>
    <mergeCell ref="H29:I29"/>
    <mergeCell ref="D30:E30"/>
    <mergeCell ref="H30:I30"/>
    <mergeCell ref="D31:E31"/>
    <mergeCell ref="H31:I31"/>
    <mergeCell ref="D32:E32"/>
    <mergeCell ref="H32:I32"/>
    <mergeCell ref="D33:E33"/>
    <mergeCell ref="H33:I33"/>
    <mergeCell ref="D34:E34"/>
    <mergeCell ref="H34:I34"/>
    <mergeCell ref="D35:E35"/>
    <mergeCell ref="H35:I35"/>
    <mergeCell ref="B37:I37"/>
    <mergeCell ref="C38:D38"/>
    <mergeCell ref="D39:E39"/>
    <mergeCell ref="H39:I39"/>
    <mergeCell ref="D40:E40"/>
    <mergeCell ref="H40:I40"/>
    <mergeCell ref="D41:E41"/>
    <mergeCell ref="H41:I41"/>
    <mergeCell ref="D42:E42"/>
    <mergeCell ref="H42:I42"/>
    <mergeCell ref="D43:E43"/>
    <mergeCell ref="H43:I43"/>
    <mergeCell ref="D44:E44"/>
    <mergeCell ref="H44:I44"/>
    <mergeCell ref="D45:E45"/>
    <mergeCell ref="H45:I45"/>
    <mergeCell ref="D46:E46"/>
    <mergeCell ref="H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10" min="3" style="0" width="1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5"/>
    <col collapsed="false" customWidth="true" hidden="false" outlineLevel="0" max="15" min="15" style="0" width="14"/>
    <col collapsed="false" customWidth="true" hidden="false" outlineLevel="0" max="16" min="16" style="0" width="3"/>
  </cols>
  <sheetData>
    <row r="1" customFormat="false" ht="15" hidden="false" customHeight="false" outlineLevel="0" collapsed="false">
      <c r="A1" s="1"/>
      <c r="B1" s="52" t="s">
        <v>147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31.5" hidden="false" customHeight="true" outlineLevel="0" collapsed="false">
      <c r="B5" s="26" t="s">
        <v>148</v>
      </c>
      <c r="C5" s="75" t="n">
        <f aca="false">C20</f>
        <v>443</v>
      </c>
      <c r="D5" s="75" t="n">
        <f aca="false">D20</f>
        <v>443</v>
      </c>
      <c r="E5" s="75" t="n">
        <f aca="false">E20</f>
        <v>427</v>
      </c>
      <c r="F5" s="75" t="n">
        <f aca="false">F20</f>
        <v>14</v>
      </c>
      <c r="G5" s="75" t="n">
        <f aca="false">G20</f>
        <v>2</v>
      </c>
      <c r="H5" s="75" t="n">
        <f aca="false">H20</f>
        <v>0</v>
      </c>
      <c r="I5" s="26" t="s">
        <v>10</v>
      </c>
      <c r="J5" s="26" t="s">
        <v>149</v>
      </c>
      <c r="K5" s="75" t="n">
        <f aca="false">K20</f>
        <v>16</v>
      </c>
      <c r="L5" s="75" t="n">
        <f aca="false">L20</f>
        <v>12</v>
      </c>
      <c r="M5" s="76" t="s">
        <v>150</v>
      </c>
      <c r="N5" s="26"/>
      <c r="O5" s="26" t="s">
        <v>151</v>
      </c>
    </row>
    <row r="6" customFormat="false" ht="18" hidden="false" customHeight="true" outlineLevel="0" collapsed="false">
      <c r="B6" s="61" t="s">
        <v>152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customFormat="false" ht="21.75" hidden="false" customHeight="true" outlineLevel="0" collapsed="false">
      <c r="B7" s="27" t="s">
        <v>153</v>
      </c>
      <c r="C7" s="28" t="n">
        <v>42</v>
      </c>
      <c r="D7" s="28" t="n">
        <v>42</v>
      </c>
      <c r="E7" s="28" t="n">
        <v>40</v>
      </c>
      <c r="F7" s="28" t="n">
        <v>1</v>
      </c>
      <c r="G7" s="28" t="n">
        <v>1</v>
      </c>
      <c r="H7" s="28" t="n">
        <v>0</v>
      </c>
      <c r="I7" s="29" t="n">
        <f aca="false">IFERROR(D7/C7*100,0)</f>
        <v>100</v>
      </c>
      <c r="J7" s="29" t="n">
        <f aca="false">IFERROR(E7/C7*100,0)</f>
        <v>95.2380952380952</v>
      </c>
      <c r="K7" s="28" t="n">
        <v>2</v>
      </c>
      <c r="L7" s="28" t="n">
        <v>2</v>
      </c>
      <c r="M7" s="77" t="s">
        <v>154</v>
      </c>
      <c r="N7" s="28"/>
      <c r="O7" s="29" t="n">
        <f aca="false">IFERROR(C7/B7*100,0)</f>
        <v>0</v>
      </c>
      <c r="P7" s="0" t="n">
        <f aca="false">IFERROR(E7/C7*100,0)</f>
        <v>95.2380952380952</v>
      </c>
    </row>
    <row r="8" customFormat="false" ht="21.75" hidden="false" customHeight="true" outlineLevel="0" collapsed="false">
      <c r="B8" s="78" t="s">
        <v>155</v>
      </c>
      <c r="C8" s="62" t="n">
        <v>38</v>
      </c>
      <c r="D8" s="62" t="n">
        <v>38</v>
      </c>
      <c r="E8" s="62" t="n">
        <v>37</v>
      </c>
      <c r="F8" s="62" t="n">
        <v>1</v>
      </c>
      <c r="G8" s="62" t="n">
        <v>0</v>
      </c>
      <c r="H8" s="62" t="n">
        <v>0</v>
      </c>
      <c r="I8" s="79" t="n">
        <f aca="false">IFERROR(D8/C8*100,0)</f>
        <v>100</v>
      </c>
      <c r="J8" s="79" t="n">
        <f aca="false">IFERROR(E8/C8*100,0)</f>
        <v>97.3684210526316</v>
      </c>
      <c r="K8" s="62" t="n">
        <v>1</v>
      </c>
      <c r="L8" s="62" t="n">
        <v>1</v>
      </c>
      <c r="M8" s="77" t="s">
        <v>154</v>
      </c>
      <c r="N8" s="62"/>
      <c r="O8" s="79" t="n">
        <f aca="false">IFERROR(C8/B8*100,0)</f>
        <v>0</v>
      </c>
    </row>
    <row r="9" customFormat="false" ht="21.75" hidden="false" customHeight="true" outlineLevel="0" collapsed="false">
      <c r="B9" s="27" t="s">
        <v>156</v>
      </c>
      <c r="C9" s="28" t="n">
        <v>35</v>
      </c>
      <c r="D9" s="28" t="n">
        <v>35</v>
      </c>
      <c r="E9" s="28" t="n">
        <v>34</v>
      </c>
      <c r="F9" s="28" t="n">
        <v>1</v>
      </c>
      <c r="G9" s="28" t="n">
        <v>0</v>
      </c>
      <c r="H9" s="28" t="n">
        <v>0</v>
      </c>
      <c r="I9" s="29" t="n">
        <f aca="false">IFERROR(D9/C9*100,0)</f>
        <v>100</v>
      </c>
      <c r="J9" s="29" t="n">
        <f aca="false">IFERROR(E9/C9*100,0)</f>
        <v>97.1428571428571</v>
      </c>
      <c r="K9" s="28" t="n">
        <v>1</v>
      </c>
      <c r="L9" s="28" t="n">
        <v>1</v>
      </c>
      <c r="M9" s="77" t="s">
        <v>154</v>
      </c>
      <c r="N9" s="28"/>
      <c r="O9" s="29" t="n">
        <f aca="false">IFERROR(C9/B9*100,0)</f>
        <v>0</v>
      </c>
    </row>
    <row r="10" customFormat="false" ht="21.75" hidden="false" customHeight="true" outlineLevel="0" collapsed="false">
      <c r="B10" s="78" t="s">
        <v>157</v>
      </c>
      <c r="C10" s="62" t="n">
        <v>45</v>
      </c>
      <c r="D10" s="62" t="n">
        <v>45</v>
      </c>
      <c r="E10" s="62" t="n">
        <v>43</v>
      </c>
      <c r="F10" s="62" t="n">
        <v>2</v>
      </c>
      <c r="G10" s="62" t="n">
        <v>0</v>
      </c>
      <c r="H10" s="62" t="n">
        <v>0</v>
      </c>
      <c r="I10" s="79" t="n">
        <f aca="false">IFERROR(D10/C10*100,0)</f>
        <v>100</v>
      </c>
      <c r="J10" s="79" t="n">
        <f aca="false">IFERROR(E10/C10*100,0)</f>
        <v>95.5555555555556</v>
      </c>
      <c r="K10" s="62" t="n">
        <v>2</v>
      </c>
      <c r="L10" s="62" t="n">
        <v>1</v>
      </c>
      <c r="M10" s="80" t="s">
        <v>158</v>
      </c>
      <c r="N10" s="62"/>
      <c r="O10" s="79" t="n">
        <f aca="false">IFERROR(C10/B10*100,0)</f>
        <v>0</v>
      </c>
    </row>
    <row r="11" customFormat="false" ht="21.75" hidden="false" customHeight="true" outlineLevel="0" collapsed="false">
      <c r="B11" s="27" t="s">
        <v>159</v>
      </c>
      <c r="C11" s="28" t="n">
        <v>50</v>
      </c>
      <c r="D11" s="28" t="n">
        <v>50</v>
      </c>
      <c r="E11" s="28" t="n">
        <v>48</v>
      </c>
      <c r="F11" s="28" t="n">
        <v>2</v>
      </c>
      <c r="G11" s="28" t="n">
        <v>0</v>
      </c>
      <c r="H11" s="28" t="n">
        <v>0</v>
      </c>
      <c r="I11" s="29" t="n">
        <f aca="false">IFERROR(D11/C11*100,0)</f>
        <v>100</v>
      </c>
      <c r="J11" s="29" t="n">
        <f aca="false">IFERROR(E11/C11*100,0)</f>
        <v>96</v>
      </c>
      <c r="K11" s="28" t="n">
        <v>2</v>
      </c>
      <c r="L11" s="28" t="n">
        <v>1</v>
      </c>
      <c r="M11" s="80" t="s">
        <v>158</v>
      </c>
      <c r="N11" s="28"/>
      <c r="O11" s="29" t="n">
        <f aca="false">IFERROR(C11/B11*100,0)</f>
        <v>0</v>
      </c>
    </row>
    <row r="12" customFormat="false" ht="21.75" hidden="false" customHeight="true" outlineLevel="0" collapsed="false">
      <c r="B12" s="78" t="s">
        <v>160</v>
      </c>
      <c r="C12" s="62" t="n">
        <v>40</v>
      </c>
      <c r="D12" s="62" t="n">
        <v>40</v>
      </c>
      <c r="E12" s="62" t="n">
        <v>39</v>
      </c>
      <c r="F12" s="62" t="n">
        <v>1</v>
      </c>
      <c r="G12" s="62" t="n">
        <v>0</v>
      </c>
      <c r="H12" s="62" t="n">
        <v>0</v>
      </c>
      <c r="I12" s="79" t="n">
        <f aca="false">IFERROR(D12/C12*100,0)</f>
        <v>100</v>
      </c>
      <c r="J12" s="79" t="n">
        <f aca="false">IFERROR(E12/C12*100,0)</f>
        <v>97.5</v>
      </c>
      <c r="K12" s="62" t="n">
        <v>1</v>
      </c>
      <c r="L12" s="62" t="n">
        <v>1</v>
      </c>
      <c r="M12" s="77" t="s">
        <v>154</v>
      </c>
      <c r="N12" s="62"/>
      <c r="O12" s="79" t="n">
        <f aca="false">IFERROR(C12/B12*100,0)</f>
        <v>0</v>
      </c>
    </row>
    <row r="13" customFormat="false" ht="18" hidden="false" customHeight="true" outlineLevel="0" collapsed="false">
      <c r="B13" s="66" t="s">
        <v>161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customFormat="false" ht="21.75" hidden="false" customHeight="true" outlineLevel="0" collapsed="false">
      <c r="B14" s="27" t="s">
        <v>162</v>
      </c>
      <c r="C14" s="28" t="n">
        <v>48</v>
      </c>
      <c r="D14" s="28" t="n">
        <v>48</v>
      </c>
      <c r="E14" s="28" t="n">
        <v>46</v>
      </c>
      <c r="F14" s="28" t="n">
        <v>2</v>
      </c>
      <c r="G14" s="28" t="n">
        <v>0</v>
      </c>
      <c r="H14" s="28" t="n">
        <v>0</v>
      </c>
      <c r="I14" s="29" t="n">
        <f aca="false">IFERROR(D14/C14*100,0)</f>
        <v>100</v>
      </c>
      <c r="J14" s="29" t="n">
        <f aca="false">IFERROR(E14/C14*100,0)</f>
        <v>95.8333333333333</v>
      </c>
      <c r="K14" s="28" t="n">
        <v>2</v>
      </c>
      <c r="L14" s="28" t="n">
        <v>1</v>
      </c>
      <c r="M14" s="80" t="s">
        <v>158</v>
      </c>
      <c r="N14" s="28"/>
      <c r="O14" s="29" t="n">
        <f aca="false">IFERROR(C14/B14*100,0)</f>
        <v>0</v>
      </c>
      <c r="P14" s="0" t="n">
        <f aca="false">IFERROR(E14/C14*100,0)</f>
        <v>95.8333333333333</v>
      </c>
    </row>
    <row r="15" customFormat="false" ht="21.75" hidden="false" customHeight="true" outlineLevel="0" collapsed="false">
      <c r="B15" s="81" t="s">
        <v>163</v>
      </c>
      <c r="C15" s="68" t="n">
        <v>52</v>
      </c>
      <c r="D15" s="68" t="n">
        <v>52</v>
      </c>
      <c r="E15" s="68" t="n">
        <v>50</v>
      </c>
      <c r="F15" s="68" t="n">
        <v>2</v>
      </c>
      <c r="G15" s="68" t="n">
        <v>0</v>
      </c>
      <c r="H15" s="68" t="n">
        <v>0</v>
      </c>
      <c r="I15" s="82" t="n">
        <f aca="false">IFERROR(D15/C15*100,0)</f>
        <v>100</v>
      </c>
      <c r="J15" s="82" t="n">
        <f aca="false">IFERROR(E15/C15*100,0)</f>
        <v>96.1538461538462</v>
      </c>
      <c r="K15" s="68" t="n">
        <v>2</v>
      </c>
      <c r="L15" s="68" t="n">
        <v>1</v>
      </c>
      <c r="M15" s="80" t="s">
        <v>158</v>
      </c>
      <c r="N15" s="68"/>
      <c r="O15" s="82" t="n">
        <f aca="false">IFERROR(C15/B15*100,0)</f>
        <v>0</v>
      </c>
    </row>
    <row r="16" customFormat="false" ht="21.75" hidden="false" customHeight="true" outlineLevel="0" collapsed="false">
      <c r="B16" s="27" t="s">
        <v>164</v>
      </c>
      <c r="C16" s="28" t="n">
        <v>38</v>
      </c>
      <c r="D16" s="28" t="n">
        <v>38</v>
      </c>
      <c r="E16" s="28" t="n">
        <v>36</v>
      </c>
      <c r="F16" s="28" t="n">
        <v>1</v>
      </c>
      <c r="G16" s="28" t="n">
        <v>1</v>
      </c>
      <c r="H16" s="28" t="n">
        <v>0</v>
      </c>
      <c r="I16" s="29" t="n">
        <f aca="false">IFERROR(D16/C16*100,0)</f>
        <v>100</v>
      </c>
      <c r="J16" s="29" t="n">
        <f aca="false">IFERROR(E16/C16*100,0)</f>
        <v>94.7368421052632</v>
      </c>
      <c r="K16" s="28" t="n">
        <v>2</v>
      </c>
      <c r="L16" s="28" t="n">
        <v>2</v>
      </c>
      <c r="M16" s="77" t="s">
        <v>154</v>
      </c>
      <c r="N16" s="28"/>
      <c r="O16" s="29" t="n">
        <f aca="false">IFERROR(C16/B16*100,0)</f>
        <v>0</v>
      </c>
    </row>
    <row r="17" customFormat="false" ht="21.75" hidden="false" customHeight="true" outlineLevel="0" collapsed="false">
      <c r="B17" s="81" t="s">
        <v>165</v>
      </c>
      <c r="C17" s="68" t="n">
        <v>30</v>
      </c>
      <c r="D17" s="68" t="n">
        <v>30</v>
      </c>
      <c r="E17" s="68" t="n">
        <v>30</v>
      </c>
      <c r="F17" s="68" t="n">
        <v>0</v>
      </c>
      <c r="G17" s="68" t="n">
        <v>0</v>
      </c>
      <c r="H17" s="68" t="n">
        <v>0</v>
      </c>
      <c r="I17" s="82" t="n">
        <f aca="false">IFERROR(D17/C17*100,0)</f>
        <v>100</v>
      </c>
      <c r="J17" s="82" t="n">
        <f aca="false">IFERROR(E17/C17*100,0)</f>
        <v>100</v>
      </c>
      <c r="K17" s="68" t="n">
        <v>0</v>
      </c>
      <c r="L17" s="68" t="n">
        <v>0</v>
      </c>
      <c r="M17" s="46" t="s">
        <v>150</v>
      </c>
      <c r="N17" s="68"/>
      <c r="O17" s="82" t="n">
        <f aca="false">IFERROR(C17/B17*100,0)</f>
        <v>0</v>
      </c>
    </row>
    <row r="18" customFormat="false" ht="21.75" hidden="false" customHeight="true" outlineLevel="0" collapsed="false">
      <c r="B18" s="27" t="s">
        <v>166</v>
      </c>
      <c r="C18" s="28" t="n">
        <v>25</v>
      </c>
      <c r="D18" s="28" t="n">
        <v>25</v>
      </c>
      <c r="E18" s="28" t="n">
        <v>24</v>
      </c>
      <c r="F18" s="28" t="n">
        <v>1</v>
      </c>
      <c r="G18" s="28" t="n">
        <v>0</v>
      </c>
      <c r="H18" s="28" t="n">
        <v>0</v>
      </c>
      <c r="I18" s="29" t="n">
        <f aca="false">IFERROR(D18/C18*100,0)</f>
        <v>100</v>
      </c>
      <c r="J18" s="29" t="n">
        <f aca="false">IFERROR(E18/C18*100,0)</f>
        <v>96</v>
      </c>
      <c r="K18" s="28" t="n">
        <v>1</v>
      </c>
      <c r="L18" s="28" t="n">
        <v>1</v>
      </c>
      <c r="M18" s="77" t="s">
        <v>154</v>
      </c>
      <c r="N18" s="28"/>
      <c r="O18" s="29" t="n">
        <f aca="false">IFERROR(C18/B18*100,0)</f>
        <v>0</v>
      </c>
    </row>
    <row r="20" customFormat="false" ht="24" hidden="false" customHeight="true" outlineLevel="0" collapsed="false">
      <c r="B20" s="83" t="s">
        <v>167</v>
      </c>
      <c r="C20" s="75" t="n">
        <f aca="false">SUM(C7:C12,C14:C18)</f>
        <v>443</v>
      </c>
      <c r="D20" s="75" t="n">
        <f aca="false">SUM(D7:D12,D14:D18)</f>
        <v>443</v>
      </c>
      <c r="E20" s="75" t="n">
        <f aca="false">SUM(E7:E12,E14:E18)</f>
        <v>427</v>
      </c>
      <c r="F20" s="75" t="n">
        <f aca="false">SUM(F7:F12,F14:F18)</f>
        <v>14</v>
      </c>
      <c r="G20" s="75" t="n">
        <f aca="false">SUM(G7:G12,G14:G18)</f>
        <v>2</v>
      </c>
      <c r="H20" s="75" t="n">
        <f aca="false">SUM(H7:H12,H14:H18)</f>
        <v>0</v>
      </c>
      <c r="I20" s="84" t="n">
        <f aca="false">IFERROR(E20/C20*100,0)</f>
        <v>96.3882618510158</v>
      </c>
      <c r="J20" s="84" t="n">
        <f aca="false">IFERROR(F20/C20*100,0)</f>
        <v>3.16027088036117</v>
      </c>
      <c r="K20" s="75" t="n">
        <f aca="false">SUM(K7:K12,K14:K18)</f>
        <v>16</v>
      </c>
      <c r="L20" s="75" t="n">
        <f aca="false">SUM(L7:L12,L14:L18)</f>
        <v>12</v>
      </c>
      <c r="M20" s="75" t="s">
        <v>168</v>
      </c>
      <c r="N20" s="75"/>
      <c r="O20" s="84"/>
    </row>
  </sheetData>
  <mergeCells count="3">
    <mergeCell ref="B1:O3"/>
    <mergeCell ref="B6:O6"/>
    <mergeCell ref="B13:O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27A0"/>
    <pageSetUpPr fitToPage="false"/>
  </sheetPr>
  <dimension ref="A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0" min="3" style="0" width="1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5"/>
    <col collapsed="false" customWidth="true" hidden="false" outlineLevel="0" max="15" min="15" style="0" width="14"/>
    <col collapsed="false" customWidth="true" hidden="false" outlineLevel="0" max="16" min="16" style="0" width="3"/>
  </cols>
  <sheetData>
    <row r="1" customFormat="false" ht="15" hidden="false" customHeight="false" outlineLevel="0" collapsed="false">
      <c r="A1" s="1"/>
      <c r="B1" s="52" t="s">
        <v>169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31.5" hidden="false" customHeight="true" outlineLevel="0" collapsed="false">
      <c r="B5" s="67" t="s">
        <v>170</v>
      </c>
      <c r="C5" s="75" t="n">
        <f aca="false">C18</f>
        <v>181</v>
      </c>
      <c r="D5" s="75" t="n">
        <f aca="false">D18</f>
        <v>181</v>
      </c>
      <c r="E5" s="75" t="n">
        <f aca="false">E18</f>
        <v>175</v>
      </c>
      <c r="F5" s="75" t="n">
        <f aca="false">F18</f>
        <v>5</v>
      </c>
      <c r="G5" s="75" t="n">
        <f aca="false">G18</f>
        <v>1</v>
      </c>
      <c r="H5" s="75" t="n">
        <f aca="false">H18</f>
        <v>0</v>
      </c>
      <c r="I5" s="67" t="s">
        <v>10</v>
      </c>
      <c r="J5" s="67" t="s">
        <v>149</v>
      </c>
      <c r="K5" s="75" t="n">
        <f aca="false">K18</f>
        <v>6</v>
      </c>
      <c r="L5" s="75" t="n">
        <f aca="false">L18</f>
        <v>6</v>
      </c>
      <c r="M5" s="76" t="s">
        <v>150</v>
      </c>
      <c r="N5" s="67"/>
      <c r="O5" s="67" t="s">
        <v>151</v>
      </c>
    </row>
    <row r="6" customFormat="false" ht="18" hidden="false" customHeight="true" outlineLevel="0" collapsed="false">
      <c r="B6" s="25" t="s">
        <v>171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customFormat="false" ht="21.75" hidden="false" customHeight="true" outlineLevel="0" collapsed="false">
      <c r="B7" s="27" t="s">
        <v>172</v>
      </c>
      <c r="C7" s="28" t="n">
        <v>20</v>
      </c>
      <c r="D7" s="28" t="n">
        <v>20</v>
      </c>
      <c r="E7" s="28" t="n">
        <v>20</v>
      </c>
      <c r="F7" s="28" t="n">
        <v>0</v>
      </c>
      <c r="G7" s="28" t="n">
        <v>0</v>
      </c>
      <c r="H7" s="28" t="n">
        <v>0</v>
      </c>
      <c r="I7" s="29" t="n">
        <f aca="false">IFERROR(D7/C7*100,0)</f>
        <v>100</v>
      </c>
      <c r="J7" s="29" t="n">
        <f aca="false">IFERROR(E7/C7*100,0)</f>
        <v>100</v>
      </c>
      <c r="K7" s="28" t="n">
        <v>0</v>
      </c>
      <c r="L7" s="28" t="n">
        <v>0</v>
      </c>
      <c r="M7" s="46" t="s">
        <v>150</v>
      </c>
      <c r="N7" s="28"/>
      <c r="O7" s="29" t="n">
        <f aca="false">IFERROR(C7/B7*100,0)</f>
        <v>0</v>
      </c>
    </row>
    <row r="8" customFormat="false" ht="21.75" hidden="false" customHeight="true" outlineLevel="0" collapsed="false">
      <c r="B8" s="30" t="s">
        <v>173</v>
      </c>
      <c r="C8" s="31" t="n">
        <v>18</v>
      </c>
      <c r="D8" s="31" t="n">
        <v>18</v>
      </c>
      <c r="E8" s="31" t="n">
        <v>17</v>
      </c>
      <c r="F8" s="31" t="n">
        <v>1</v>
      </c>
      <c r="G8" s="31" t="n">
        <v>0</v>
      </c>
      <c r="H8" s="31" t="n">
        <v>0</v>
      </c>
      <c r="I8" s="32" t="n">
        <f aca="false">IFERROR(D8/C8*100,0)</f>
        <v>100</v>
      </c>
      <c r="J8" s="32" t="n">
        <f aca="false">IFERROR(E8/C8*100,0)</f>
        <v>94.4444444444444</v>
      </c>
      <c r="K8" s="31" t="n">
        <v>1</v>
      </c>
      <c r="L8" s="31" t="n">
        <v>1</v>
      </c>
      <c r="M8" s="77" t="s">
        <v>154</v>
      </c>
      <c r="N8" s="31"/>
      <c r="O8" s="32" t="n">
        <f aca="false">IFERROR(C8/B8*100,0)</f>
        <v>0</v>
      </c>
    </row>
    <row r="9" customFormat="false" ht="21.75" hidden="false" customHeight="true" outlineLevel="0" collapsed="false">
      <c r="B9" s="27" t="s">
        <v>174</v>
      </c>
      <c r="C9" s="28" t="n">
        <v>15</v>
      </c>
      <c r="D9" s="28" t="n">
        <v>15</v>
      </c>
      <c r="E9" s="28" t="n">
        <v>15</v>
      </c>
      <c r="F9" s="28" t="n">
        <v>0</v>
      </c>
      <c r="G9" s="28" t="n">
        <v>0</v>
      </c>
      <c r="H9" s="28" t="n">
        <v>0</v>
      </c>
      <c r="I9" s="29" t="n">
        <f aca="false">IFERROR(D9/C9*100,0)</f>
        <v>100</v>
      </c>
      <c r="J9" s="29" t="n">
        <f aca="false">IFERROR(E9/C9*100,0)</f>
        <v>100</v>
      </c>
      <c r="K9" s="28" t="n">
        <v>0</v>
      </c>
      <c r="L9" s="28" t="n">
        <v>0</v>
      </c>
      <c r="M9" s="46" t="s">
        <v>150</v>
      </c>
      <c r="N9" s="28"/>
      <c r="O9" s="29" t="n">
        <f aca="false">IFERROR(C9/B9*100,0)</f>
        <v>0</v>
      </c>
    </row>
    <row r="10" customFormat="false" ht="21.75" hidden="false" customHeight="true" outlineLevel="0" collapsed="false">
      <c r="B10" s="30" t="s">
        <v>175</v>
      </c>
      <c r="C10" s="31" t="n">
        <v>22</v>
      </c>
      <c r="D10" s="31" t="n">
        <v>22</v>
      </c>
      <c r="E10" s="31" t="n">
        <v>21</v>
      </c>
      <c r="F10" s="31" t="n">
        <v>1</v>
      </c>
      <c r="G10" s="31" t="n">
        <v>0</v>
      </c>
      <c r="H10" s="31" t="n">
        <v>0</v>
      </c>
      <c r="I10" s="32" t="n">
        <f aca="false">IFERROR(D10/C10*100,0)</f>
        <v>100</v>
      </c>
      <c r="J10" s="32" t="n">
        <f aca="false">IFERROR(E10/C10*100,0)</f>
        <v>95.4545454545455</v>
      </c>
      <c r="K10" s="31" t="n">
        <v>1</v>
      </c>
      <c r="L10" s="31" t="n">
        <v>1</v>
      </c>
      <c r="M10" s="77" t="s">
        <v>154</v>
      </c>
      <c r="N10" s="31"/>
      <c r="O10" s="32" t="n">
        <f aca="false">IFERROR(C10/B10*100,0)</f>
        <v>0</v>
      </c>
    </row>
    <row r="11" customFormat="false" ht="21.75" hidden="false" customHeight="true" outlineLevel="0" collapsed="false">
      <c r="B11" s="27" t="s">
        <v>176</v>
      </c>
      <c r="C11" s="28" t="n">
        <v>16</v>
      </c>
      <c r="D11" s="28" t="n">
        <v>16</v>
      </c>
      <c r="E11" s="28" t="n">
        <v>16</v>
      </c>
      <c r="F11" s="28" t="n">
        <v>0</v>
      </c>
      <c r="G11" s="28" t="n">
        <v>0</v>
      </c>
      <c r="H11" s="28" t="n">
        <v>0</v>
      </c>
      <c r="I11" s="29" t="n">
        <f aca="false">IFERROR(D11/C11*100,0)</f>
        <v>100</v>
      </c>
      <c r="J11" s="29" t="n">
        <f aca="false">IFERROR(E11/C11*100,0)</f>
        <v>100</v>
      </c>
      <c r="K11" s="28" t="n">
        <v>0</v>
      </c>
      <c r="L11" s="28" t="n">
        <v>0</v>
      </c>
      <c r="M11" s="46" t="s">
        <v>150</v>
      </c>
      <c r="N11" s="28"/>
      <c r="O11" s="29" t="n">
        <f aca="false">IFERROR(C11/B11*100,0)</f>
        <v>0</v>
      </c>
    </row>
    <row r="12" customFormat="false" ht="21.75" hidden="false" customHeight="true" outlineLevel="0" collapsed="false">
      <c r="B12" s="30" t="s">
        <v>177</v>
      </c>
      <c r="C12" s="31" t="n">
        <v>18</v>
      </c>
      <c r="D12" s="31" t="n">
        <v>18</v>
      </c>
      <c r="E12" s="31" t="n">
        <v>17</v>
      </c>
      <c r="F12" s="31" t="n">
        <v>0</v>
      </c>
      <c r="G12" s="31" t="n">
        <v>1</v>
      </c>
      <c r="H12" s="31" t="n">
        <v>0</v>
      </c>
      <c r="I12" s="32" t="n">
        <f aca="false">IFERROR(D12/C12*100,0)</f>
        <v>100</v>
      </c>
      <c r="J12" s="32" t="n">
        <f aca="false">IFERROR(E12/C12*100,0)</f>
        <v>94.4444444444444</v>
      </c>
      <c r="K12" s="31" t="n">
        <v>1</v>
      </c>
      <c r="L12" s="31" t="n">
        <v>1</v>
      </c>
      <c r="M12" s="77" t="s">
        <v>154</v>
      </c>
      <c r="N12" s="31"/>
      <c r="O12" s="32" t="n">
        <f aca="false">IFERROR(C12/B12*100,0)</f>
        <v>0</v>
      </c>
    </row>
    <row r="13" customFormat="false" ht="21.75" hidden="false" customHeight="true" outlineLevel="0" collapsed="false">
      <c r="B13" s="27" t="s">
        <v>178</v>
      </c>
      <c r="C13" s="28" t="n">
        <v>20</v>
      </c>
      <c r="D13" s="28" t="n">
        <v>20</v>
      </c>
      <c r="E13" s="28" t="n">
        <v>19</v>
      </c>
      <c r="F13" s="28" t="n">
        <v>1</v>
      </c>
      <c r="G13" s="28" t="n">
        <v>0</v>
      </c>
      <c r="H13" s="28" t="n">
        <v>0</v>
      </c>
      <c r="I13" s="29" t="n">
        <f aca="false">IFERROR(D13/C13*100,0)</f>
        <v>100</v>
      </c>
      <c r="J13" s="29" t="n">
        <f aca="false">IFERROR(E13/C13*100,0)</f>
        <v>95</v>
      </c>
      <c r="K13" s="28" t="n">
        <v>1</v>
      </c>
      <c r="L13" s="28" t="n">
        <v>1</v>
      </c>
      <c r="M13" s="77" t="s">
        <v>154</v>
      </c>
      <c r="N13" s="28"/>
      <c r="O13" s="29" t="n">
        <f aca="false">IFERROR(C13/B13*100,0)</f>
        <v>0</v>
      </c>
    </row>
    <row r="14" customFormat="false" ht="21.75" hidden="false" customHeight="true" outlineLevel="0" collapsed="false">
      <c r="B14" s="30" t="s">
        <v>179</v>
      </c>
      <c r="C14" s="31" t="n">
        <v>25</v>
      </c>
      <c r="D14" s="31" t="n">
        <v>25</v>
      </c>
      <c r="E14" s="31" t="n">
        <v>24</v>
      </c>
      <c r="F14" s="31" t="n">
        <v>1</v>
      </c>
      <c r="G14" s="31" t="n">
        <v>0</v>
      </c>
      <c r="H14" s="31" t="n">
        <v>0</v>
      </c>
      <c r="I14" s="32" t="n">
        <f aca="false">IFERROR(D14/C14*100,0)</f>
        <v>100</v>
      </c>
      <c r="J14" s="32" t="n">
        <f aca="false">IFERROR(E14/C14*100,0)</f>
        <v>96</v>
      </c>
      <c r="K14" s="31" t="n">
        <v>1</v>
      </c>
      <c r="L14" s="31" t="n">
        <v>1</v>
      </c>
      <c r="M14" s="77" t="s">
        <v>154</v>
      </c>
      <c r="N14" s="31"/>
      <c r="O14" s="32" t="n">
        <f aca="false">IFERROR(C14/B14*100,0)</f>
        <v>0</v>
      </c>
    </row>
    <row r="15" customFormat="false" ht="21.75" hidden="false" customHeight="true" outlineLevel="0" collapsed="false">
      <c r="B15" s="27" t="s">
        <v>180</v>
      </c>
      <c r="C15" s="28" t="n">
        <v>12</v>
      </c>
      <c r="D15" s="28" t="n">
        <v>12</v>
      </c>
      <c r="E15" s="28" t="n">
        <v>12</v>
      </c>
      <c r="F15" s="28" t="n">
        <v>0</v>
      </c>
      <c r="G15" s="28" t="n">
        <v>0</v>
      </c>
      <c r="H15" s="28" t="n">
        <v>0</v>
      </c>
      <c r="I15" s="29" t="n">
        <f aca="false">IFERROR(D15/C15*100,0)</f>
        <v>100</v>
      </c>
      <c r="J15" s="29" t="n">
        <f aca="false">IFERROR(E15/C15*100,0)</f>
        <v>100</v>
      </c>
      <c r="K15" s="28" t="n">
        <v>0</v>
      </c>
      <c r="L15" s="28" t="n">
        <v>0</v>
      </c>
      <c r="M15" s="46" t="s">
        <v>150</v>
      </c>
      <c r="N15" s="28"/>
      <c r="O15" s="29" t="n">
        <f aca="false">IFERROR(C15/B15*100,0)</f>
        <v>0</v>
      </c>
    </row>
    <row r="16" customFormat="false" ht="21.75" hidden="false" customHeight="true" outlineLevel="0" collapsed="false">
      <c r="B16" s="30" t="s">
        <v>181</v>
      </c>
      <c r="C16" s="31" t="n">
        <v>15</v>
      </c>
      <c r="D16" s="31" t="n">
        <v>15</v>
      </c>
      <c r="E16" s="31" t="n">
        <v>14</v>
      </c>
      <c r="F16" s="31" t="n">
        <v>1</v>
      </c>
      <c r="G16" s="31" t="n">
        <v>0</v>
      </c>
      <c r="H16" s="31" t="n">
        <v>0</v>
      </c>
      <c r="I16" s="32" t="n">
        <f aca="false">IFERROR(D16/C16*100,0)</f>
        <v>100</v>
      </c>
      <c r="J16" s="32" t="n">
        <f aca="false">IFERROR(E16/C16*100,0)</f>
        <v>93.3333333333333</v>
      </c>
      <c r="K16" s="31" t="n">
        <v>1</v>
      </c>
      <c r="L16" s="31" t="n">
        <v>1</v>
      </c>
      <c r="M16" s="77" t="s">
        <v>154</v>
      </c>
      <c r="N16" s="31"/>
      <c r="O16" s="32" t="n">
        <f aca="false">IFERROR(C16/B16*100,0)</f>
        <v>0</v>
      </c>
    </row>
    <row r="18" customFormat="false" ht="24" hidden="false" customHeight="true" outlineLevel="0" collapsed="false">
      <c r="B18" s="83" t="s">
        <v>167</v>
      </c>
      <c r="C18" s="75" t="n">
        <f aca="false">SUM(C7:C17)</f>
        <v>181</v>
      </c>
      <c r="D18" s="75" t="n">
        <f aca="false">SUM(D7:D17)</f>
        <v>181</v>
      </c>
      <c r="E18" s="75" t="n">
        <f aca="false">SUM(E7:E17)</f>
        <v>175</v>
      </c>
      <c r="F18" s="75" t="n">
        <f aca="false">SUM(F7:F17)</f>
        <v>5</v>
      </c>
      <c r="G18" s="75" t="n">
        <f aca="false">SUM(G7:G17)</f>
        <v>1</v>
      </c>
      <c r="H18" s="75" t="n">
        <f aca="false">SUM(H7:H17)</f>
        <v>0</v>
      </c>
      <c r="I18" s="84" t="n">
        <f aca="false">IFERROR(E18/C18*100,0)</f>
        <v>96.6850828729282</v>
      </c>
      <c r="J18" s="84" t="n">
        <f aca="false">IFERROR(F18/C18*100,0)</f>
        <v>2.76243093922652</v>
      </c>
      <c r="K18" s="75" t="n">
        <f aca="false">SUM(K7:K17)</f>
        <v>6</v>
      </c>
      <c r="L18" s="75" t="n">
        <f aca="false">SUM(L7:L17)</f>
        <v>6</v>
      </c>
      <c r="M18" s="75" t="s">
        <v>168</v>
      </c>
      <c r="N18" s="75"/>
      <c r="O18" s="84"/>
    </row>
  </sheetData>
  <mergeCells count="2">
    <mergeCell ref="B1:O3"/>
    <mergeCell ref="B6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U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8"/>
    <col collapsed="false" customWidth="true" hidden="false" outlineLevel="0" max="13" min="11" style="0" width="14"/>
    <col collapsed="false" customWidth="true" hidden="false" outlineLevel="0" max="14" min="14" style="0" width="10"/>
    <col collapsed="false" customWidth="true" hidden="false" outlineLevel="0" max="16" min="15" style="0" width="14"/>
    <col collapsed="false" customWidth="true" hidden="false" outlineLevel="0" max="17" min="17" style="0" width="18"/>
    <col collapsed="false" customWidth="true" hidden="false" outlineLevel="0" max="20" min="18" style="0" width="10"/>
    <col collapsed="false" customWidth="true" hidden="false" outlineLevel="0" max="21" min="21" style="0" width="3"/>
  </cols>
  <sheetData>
    <row r="1" customFormat="false" ht="15" hidden="false" customHeight="false" outlineLevel="0" collapsed="false">
      <c r="A1" s="1"/>
      <c r="B1" s="52" t="s">
        <v>182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9.5" hidden="false" customHeight="true" outlineLevel="0" collapsed="false">
      <c r="B5" s="85" t="s">
        <v>183</v>
      </c>
      <c r="C5" s="85" t="s">
        <v>12</v>
      </c>
      <c r="D5" s="85" t="s">
        <v>184</v>
      </c>
      <c r="E5" s="85" t="s">
        <v>185</v>
      </c>
      <c r="F5" s="85" t="s">
        <v>186</v>
      </c>
      <c r="G5" s="85" t="s">
        <v>187</v>
      </c>
      <c r="H5" s="85" t="s">
        <v>18</v>
      </c>
      <c r="I5" s="85" t="s">
        <v>188</v>
      </c>
      <c r="J5" s="85" t="s">
        <v>189</v>
      </c>
      <c r="K5" s="85" t="s">
        <v>190</v>
      </c>
      <c r="L5" s="85" t="s">
        <v>191</v>
      </c>
      <c r="M5" s="85" t="s">
        <v>192</v>
      </c>
      <c r="N5" s="85" t="s">
        <v>193</v>
      </c>
      <c r="O5" s="85" t="s">
        <v>194</v>
      </c>
      <c r="P5" s="85" t="s">
        <v>195</v>
      </c>
      <c r="Q5" s="25" t="s">
        <v>196</v>
      </c>
      <c r="R5" s="25"/>
      <c r="S5" s="25"/>
      <c r="T5" s="25"/>
      <c r="U5" s="25"/>
    </row>
    <row r="6" customFormat="false" ht="21.75" hidden="false" customHeight="true" outlineLevel="0" collapsed="false">
      <c r="B6" s="86" t="s">
        <v>197</v>
      </c>
      <c r="C6" s="86" t="s">
        <v>198</v>
      </c>
      <c r="D6" s="87" t="s">
        <v>153</v>
      </c>
      <c r="E6" s="86" t="s">
        <v>199</v>
      </c>
      <c r="F6" s="88" t="s">
        <v>200</v>
      </c>
      <c r="G6" s="86" t="s">
        <v>201</v>
      </c>
      <c r="H6" s="89" t="s">
        <v>202</v>
      </c>
      <c r="I6" s="86" t="s">
        <v>203</v>
      </c>
      <c r="J6" s="87" t="s">
        <v>204</v>
      </c>
      <c r="K6" s="87" t="s">
        <v>205</v>
      </c>
      <c r="L6" s="87" t="s">
        <v>206</v>
      </c>
      <c r="M6" s="86" t="s">
        <v>207</v>
      </c>
      <c r="N6" s="86" t="s">
        <v>208</v>
      </c>
      <c r="O6" s="86" t="s">
        <v>208</v>
      </c>
      <c r="P6" s="87" t="s">
        <v>209</v>
      </c>
      <c r="Q6" s="44" t="s">
        <v>210</v>
      </c>
      <c r="R6" s="44" t="s">
        <v>211</v>
      </c>
      <c r="S6" s="44"/>
      <c r="T6" s="44"/>
    </row>
    <row r="7" customFormat="false" ht="21.75" hidden="false" customHeight="true" outlineLevel="0" collapsed="false">
      <c r="B7" s="90" t="s">
        <v>212</v>
      </c>
      <c r="C7" s="90" t="s">
        <v>198</v>
      </c>
      <c r="D7" s="91" t="s">
        <v>155</v>
      </c>
      <c r="E7" s="90" t="s">
        <v>213</v>
      </c>
      <c r="F7" s="88" t="s">
        <v>200</v>
      </c>
      <c r="G7" s="90" t="s">
        <v>201</v>
      </c>
      <c r="H7" s="89" t="s">
        <v>202</v>
      </c>
      <c r="I7" s="90" t="s">
        <v>214</v>
      </c>
      <c r="J7" s="91" t="s">
        <v>215</v>
      </c>
      <c r="K7" s="91" t="s">
        <v>216</v>
      </c>
      <c r="L7" s="91" t="s">
        <v>217</v>
      </c>
      <c r="M7" s="90" t="s">
        <v>207</v>
      </c>
      <c r="N7" s="90" t="s">
        <v>208</v>
      </c>
      <c r="O7" s="90" t="s">
        <v>208</v>
      </c>
      <c r="P7" s="91"/>
      <c r="Q7" s="92" t="s">
        <v>218</v>
      </c>
      <c r="R7" s="55" t="n">
        <f aca="false">COUNTA(B6:B19)</f>
        <v>14</v>
      </c>
    </row>
    <row r="8" customFormat="false" ht="21.75" hidden="false" customHeight="true" outlineLevel="0" collapsed="false">
      <c r="B8" s="86" t="s">
        <v>219</v>
      </c>
      <c r="C8" s="86" t="s">
        <v>198</v>
      </c>
      <c r="D8" s="87" t="s">
        <v>157</v>
      </c>
      <c r="E8" s="86" t="s">
        <v>220</v>
      </c>
      <c r="F8" s="93" t="s">
        <v>221</v>
      </c>
      <c r="G8" s="86" t="s">
        <v>222</v>
      </c>
      <c r="H8" s="89" t="s">
        <v>202</v>
      </c>
      <c r="I8" s="86" t="s">
        <v>223</v>
      </c>
      <c r="J8" s="87" t="s">
        <v>224</v>
      </c>
      <c r="K8" s="87" t="s">
        <v>225</v>
      </c>
      <c r="L8" s="87" t="s">
        <v>226</v>
      </c>
      <c r="M8" s="86" t="s">
        <v>207</v>
      </c>
      <c r="N8" s="86" t="s">
        <v>208</v>
      </c>
      <c r="O8" s="86" t="s">
        <v>208</v>
      </c>
      <c r="P8" s="87"/>
      <c r="Q8" s="49" t="s">
        <v>227</v>
      </c>
      <c r="R8" s="48" t="n">
        <f aca="false">COUNTIF(F6:F19,"P1")</f>
        <v>0</v>
      </c>
    </row>
    <row r="9" customFormat="false" ht="21.75" hidden="false" customHeight="true" outlineLevel="0" collapsed="false">
      <c r="B9" s="90" t="s">
        <v>228</v>
      </c>
      <c r="C9" s="90" t="s">
        <v>198</v>
      </c>
      <c r="D9" s="91" t="s">
        <v>229</v>
      </c>
      <c r="E9" s="90" t="s">
        <v>230</v>
      </c>
      <c r="F9" s="88" t="s">
        <v>200</v>
      </c>
      <c r="G9" s="90" t="s">
        <v>201</v>
      </c>
      <c r="H9" s="89" t="s">
        <v>202</v>
      </c>
      <c r="I9" s="90" t="s">
        <v>231</v>
      </c>
      <c r="J9" s="91" t="s">
        <v>232</v>
      </c>
      <c r="K9" s="91" t="s">
        <v>233</v>
      </c>
      <c r="L9" s="91" t="s">
        <v>234</v>
      </c>
      <c r="M9" s="90" t="s">
        <v>207</v>
      </c>
      <c r="N9" s="90" t="s">
        <v>208</v>
      </c>
      <c r="O9" s="90" t="s">
        <v>208</v>
      </c>
      <c r="P9" s="91"/>
      <c r="Q9" s="27" t="s">
        <v>235</v>
      </c>
      <c r="R9" s="28" t="n">
        <f aca="false">COUNTIF(F6:F19,"P2")</f>
        <v>7</v>
      </c>
    </row>
    <row r="10" customFormat="false" ht="21.75" hidden="false" customHeight="true" outlineLevel="0" collapsed="false">
      <c r="B10" s="86" t="s">
        <v>236</v>
      </c>
      <c r="C10" s="86" t="s">
        <v>198</v>
      </c>
      <c r="D10" s="87" t="s">
        <v>237</v>
      </c>
      <c r="E10" s="86" t="s">
        <v>238</v>
      </c>
      <c r="F10" s="93" t="s">
        <v>221</v>
      </c>
      <c r="G10" s="86" t="s">
        <v>222</v>
      </c>
      <c r="H10" s="89" t="s">
        <v>202</v>
      </c>
      <c r="I10" s="86" t="s">
        <v>203</v>
      </c>
      <c r="J10" s="87" t="s">
        <v>239</v>
      </c>
      <c r="K10" s="87" t="s">
        <v>240</v>
      </c>
      <c r="L10" s="87" t="s">
        <v>241</v>
      </c>
      <c r="M10" s="86" t="s">
        <v>207</v>
      </c>
      <c r="N10" s="86" t="s">
        <v>208</v>
      </c>
      <c r="O10" s="86" t="s">
        <v>208</v>
      </c>
      <c r="P10" s="87"/>
      <c r="Q10" s="49" t="s">
        <v>242</v>
      </c>
      <c r="R10" s="48" t="n">
        <f aca="false">COUNTIF(F6:F19,"P3")</f>
        <v>7</v>
      </c>
    </row>
    <row r="11" customFormat="false" ht="21.75" hidden="false" customHeight="true" outlineLevel="0" collapsed="false">
      <c r="B11" s="90" t="s">
        <v>243</v>
      </c>
      <c r="C11" s="90" t="s">
        <v>198</v>
      </c>
      <c r="D11" s="91" t="s">
        <v>162</v>
      </c>
      <c r="E11" s="90" t="s">
        <v>244</v>
      </c>
      <c r="F11" s="88" t="s">
        <v>200</v>
      </c>
      <c r="G11" s="90" t="s">
        <v>201</v>
      </c>
      <c r="H11" s="89" t="s">
        <v>202</v>
      </c>
      <c r="I11" s="90" t="s">
        <v>245</v>
      </c>
      <c r="J11" s="91" t="s">
        <v>246</v>
      </c>
      <c r="K11" s="91" t="s">
        <v>247</v>
      </c>
      <c r="L11" s="91" t="s">
        <v>248</v>
      </c>
      <c r="M11" s="90" t="s">
        <v>207</v>
      </c>
      <c r="N11" s="90" t="s">
        <v>208</v>
      </c>
      <c r="O11" s="90" t="s">
        <v>208</v>
      </c>
      <c r="P11" s="91"/>
      <c r="Q11" s="27" t="s">
        <v>249</v>
      </c>
      <c r="R11" s="28" t="n">
        <f aca="false">COUNTIF(F6:F19,"P4")</f>
        <v>0</v>
      </c>
    </row>
    <row r="12" customFormat="false" ht="21.75" hidden="false" customHeight="true" outlineLevel="0" collapsed="false">
      <c r="B12" s="86" t="s">
        <v>250</v>
      </c>
      <c r="C12" s="86" t="s">
        <v>198</v>
      </c>
      <c r="D12" s="87" t="s">
        <v>163</v>
      </c>
      <c r="E12" s="86" t="s">
        <v>251</v>
      </c>
      <c r="F12" s="88" t="s">
        <v>200</v>
      </c>
      <c r="G12" s="86" t="s">
        <v>201</v>
      </c>
      <c r="H12" s="89" t="s">
        <v>202</v>
      </c>
      <c r="I12" s="86" t="s">
        <v>252</v>
      </c>
      <c r="J12" s="87" t="s">
        <v>253</v>
      </c>
      <c r="K12" s="87" t="s">
        <v>254</v>
      </c>
      <c r="L12" s="87" t="s">
        <v>255</v>
      </c>
      <c r="M12" s="86" t="s">
        <v>207</v>
      </c>
      <c r="N12" s="86" t="s">
        <v>208</v>
      </c>
      <c r="O12" s="86" t="s">
        <v>208</v>
      </c>
      <c r="P12" s="87"/>
      <c r="Q12" s="49" t="s">
        <v>256</v>
      </c>
      <c r="R12" s="48" t="n">
        <f aca="false">COUNTIF(H6:H19,"Closed")</f>
        <v>11</v>
      </c>
    </row>
    <row r="13" customFormat="false" ht="21.75" hidden="false" customHeight="true" outlineLevel="0" collapsed="false">
      <c r="B13" s="90" t="s">
        <v>257</v>
      </c>
      <c r="C13" s="90" t="s">
        <v>198</v>
      </c>
      <c r="D13" s="91" t="s">
        <v>164</v>
      </c>
      <c r="E13" s="90" t="s">
        <v>258</v>
      </c>
      <c r="F13" s="93" t="s">
        <v>221</v>
      </c>
      <c r="G13" s="90" t="s">
        <v>222</v>
      </c>
      <c r="H13" s="94" t="s">
        <v>259</v>
      </c>
      <c r="I13" s="90" t="s">
        <v>260</v>
      </c>
      <c r="J13" s="91" t="s">
        <v>261</v>
      </c>
      <c r="K13" s="91" t="s">
        <v>262</v>
      </c>
      <c r="L13" s="91" t="s">
        <v>263</v>
      </c>
      <c r="M13" s="90" t="s">
        <v>264</v>
      </c>
      <c r="N13" s="90" t="s">
        <v>208</v>
      </c>
      <c r="O13" s="90" t="s">
        <v>24</v>
      </c>
      <c r="P13" s="91" t="s">
        <v>265</v>
      </c>
      <c r="Q13" s="27" t="s">
        <v>266</v>
      </c>
      <c r="R13" s="80" t="n">
        <f aca="false">COUNTIF(H6:H19,"Open")</f>
        <v>3</v>
      </c>
    </row>
    <row r="14" customFormat="false" ht="21.75" hidden="false" customHeight="true" outlineLevel="0" collapsed="false">
      <c r="B14" s="86" t="s">
        <v>267</v>
      </c>
      <c r="C14" s="86" t="s">
        <v>198</v>
      </c>
      <c r="D14" s="87" t="s">
        <v>153</v>
      </c>
      <c r="E14" s="86" t="s">
        <v>268</v>
      </c>
      <c r="F14" s="93" t="s">
        <v>221</v>
      </c>
      <c r="G14" s="86" t="s">
        <v>222</v>
      </c>
      <c r="H14" s="89" t="s">
        <v>202</v>
      </c>
      <c r="I14" s="86" t="s">
        <v>203</v>
      </c>
      <c r="J14" s="87" t="s">
        <v>269</v>
      </c>
      <c r="K14" s="87" t="s">
        <v>270</v>
      </c>
      <c r="L14" s="87" t="s">
        <v>241</v>
      </c>
      <c r="M14" s="86" t="s">
        <v>207</v>
      </c>
      <c r="N14" s="86" t="s">
        <v>208</v>
      </c>
      <c r="O14" s="86" t="s">
        <v>208</v>
      </c>
      <c r="P14" s="87"/>
      <c r="Q14" s="49" t="s">
        <v>271</v>
      </c>
      <c r="R14" s="48" t="n">
        <f aca="false">COUNTIF(H6:H19,"In Progress")</f>
        <v>0</v>
      </c>
    </row>
    <row r="15" customFormat="false" ht="21.75" hidden="false" customHeight="true" outlineLevel="0" collapsed="false">
      <c r="B15" s="90" t="s">
        <v>272</v>
      </c>
      <c r="C15" s="90" t="s">
        <v>273</v>
      </c>
      <c r="D15" s="91" t="s">
        <v>274</v>
      </c>
      <c r="E15" s="90" t="s">
        <v>275</v>
      </c>
      <c r="F15" s="88" t="s">
        <v>200</v>
      </c>
      <c r="G15" s="90" t="s">
        <v>201</v>
      </c>
      <c r="H15" s="89" t="s">
        <v>202</v>
      </c>
      <c r="I15" s="90" t="s">
        <v>252</v>
      </c>
      <c r="J15" s="91" t="s">
        <v>276</v>
      </c>
      <c r="K15" s="91" t="s">
        <v>277</v>
      </c>
      <c r="L15" s="91" t="s">
        <v>241</v>
      </c>
      <c r="M15" s="90" t="s">
        <v>207</v>
      </c>
      <c r="N15" s="90" t="s">
        <v>208</v>
      </c>
      <c r="O15" s="90" t="s">
        <v>208</v>
      </c>
      <c r="P15" s="91"/>
      <c r="Q15" s="92" t="s">
        <v>278</v>
      </c>
      <c r="R15" s="95" t="n">
        <f aca="false">IFERROR(R7/R6*100,0)</f>
        <v>0</v>
      </c>
    </row>
    <row r="16" customFormat="false" ht="21.75" hidden="false" customHeight="true" outlineLevel="0" collapsed="false">
      <c r="B16" s="86" t="s">
        <v>279</v>
      </c>
      <c r="C16" s="86" t="s">
        <v>273</v>
      </c>
      <c r="D16" s="87" t="s">
        <v>280</v>
      </c>
      <c r="E16" s="86" t="s">
        <v>281</v>
      </c>
      <c r="F16" s="93" t="s">
        <v>221</v>
      </c>
      <c r="G16" s="86" t="s">
        <v>222</v>
      </c>
      <c r="H16" s="89" t="s">
        <v>202</v>
      </c>
      <c r="I16" s="86" t="s">
        <v>245</v>
      </c>
      <c r="J16" s="87" t="s">
        <v>282</v>
      </c>
      <c r="K16" s="87" t="s">
        <v>283</v>
      </c>
      <c r="L16" s="87" t="s">
        <v>284</v>
      </c>
      <c r="M16" s="86" t="s">
        <v>207</v>
      </c>
      <c r="N16" s="86" t="s">
        <v>208</v>
      </c>
      <c r="O16" s="86" t="s">
        <v>208</v>
      </c>
      <c r="P16" s="87"/>
      <c r="Q16" s="49" t="s">
        <v>285</v>
      </c>
      <c r="R16" s="48" t="n">
        <f aca="false">COUNTIF(C6:C19,"ST")</f>
        <v>9</v>
      </c>
    </row>
    <row r="17" customFormat="false" ht="21.75" hidden="false" customHeight="true" outlineLevel="0" collapsed="false">
      <c r="B17" s="90" t="s">
        <v>286</v>
      </c>
      <c r="C17" s="90" t="s">
        <v>273</v>
      </c>
      <c r="D17" s="91" t="s">
        <v>287</v>
      </c>
      <c r="E17" s="90" t="s">
        <v>288</v>
      </c>
      <c r="F17" s="93" t="s">
        <v>221</v>
      </c>
      <c r="G17" s="90" t="s">
        <v>222</v>
      </c>
      <c r="H17" s="94" t="s">
        <v>259</v>
      </c>
      <c r="I17" s="90" t="s">
        <v>214</v>
      </c>
      <c r="J17" s="91" t="s">
        <v>289</v>
      </c>
      <c r="K17" s="91" t="s">
        <v>290</v>
      </c>
      <c r="L17" s="91" t="s">
        <v>291</v>
      </c>
      <c r="M17" s="90" t="s">
        <v>264</v>
      </c>
      <c r="N17" s="90" t="s">
        <v>208</v>
      </c>
      <c r="O17" s="90" t="s">
        <v>24</v>
      </c>
      <c r="P17" s="91" t="s">
        <v>265</v>
      </c>
      <c r="Q17" s="27" t="s">
        <v>292</v>
      </c>
      <c r="R17" s="28" t="n">
        <f aca="false">COUNTIF(C6:C19,"SIT")</f>
        <v>5</v>
      </c>
    </row>
    <row r="18" customFormat="false" ht="24" hidden="false" customHeight="true" outlineLevel="0" collapsed="false">
      <c r="B18" s="86" t="s">
        <v>293</v>
      </c>
      <c r="C18" s="86" t="s">
        <v>273</v>
      </c>
      <c r="D18" s="87" t="s">
        <v>294</v>
      </c>
      <c r="E18" s="86" t="s">
        <v>295</v>
      </c>
      <c r="F18" s="88" t="s">
        <v>200</v>
      </c>
      <c r="G18" s="86" t="s">
        <v>201</v>
      </c>
      <c r="H18" s="89" t="s">
        <v>202</v>
      </c>
      <c r="I18" s="86" t="s">
        <v>231</v>
      </c>
      <c r="J18" s="87" t="s">
        <v>296</v>
      </c>
      <c r="K18" s="87" t="s">
        <v>297</v>
      </c>
      <c r="L18" s="87" t="s">
        <v>298</v>
      </c>
      <c r="M18" s="86" t="s">
        <v>207</v>
      </c>
      <c r="N18" s="86" t="s">
        <v>208</v>
      </c>
      <c r="O18" s="86" t="s">
        <v>208</v>
      </c>
      <c r="P18" s="87"/>
    </row>
    <row r="19" customFormat="false" ht="24" hidden="false" customHeight="true" outlineLevel="0" collapsed="false">
      <c r="B19" s="90" t="s">
        <v>299</v>
      </c>
      <c r="C19" s="90" t="s">
        <v>273</v>
      </c>
      <c r="D19" s="91" t="s">
        <v>300</v>
      </c>
      <c r="E19" s="90" t="s">
        <v>301</v>
      </c>
      <c r="F19" s="93" t="s">
        <v>221</v>
      </c>
      <c r="G19" s="90" t="s">
        <v>222</v>
      </c>
      <c r="H19" s="94" t="s">
        <v>259</v>
      </c>
      <c r="I19" s="90" t="s">
        <v>223</v>
      </c>
      <c r="J19" s="91" t="s">
        <v>302</v>
      </c>
      <c r="K19" s="91" t="s">
        <v>303</v>
      </c>
      <c r="L19" s="91" t="s">
        <v>304</v>
      </c>
      <c r="M19" s="90" t="s">
        <v>264</v>
      </c>
      <c r="N19" s="90" t="s">
        <v>208</v>
      </c>
      <c r="O19" s="90" t="s">
        <v>24</v>
      </c>
      <c r="P19" s="91" t="s">
        <v>305</v>
      </c>
    </row>
  </sheetData>
  <mergeCells count="2">
    <mergeCell ref="B1:Q3"/>
    <mergeCell ref="Q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6" min="15" style="0" width="3"/>
  </cols>
  <sheetData>
    <row r="1" customFormat="false" ht="15" hidden="false" customHeight="false" outlineLevel="0" collapsed="false">
      <c r="A1" s="1"/>
      <c r="B1" s="52" t="s">
        <v>306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1"/>
      <c r="P1" s="1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1"/>
      <c r="P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B5" s="96" t="s">
        <v>307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customFormat="false" ht="30" hidden="false" customHeight="true" outlineLevel="0" collapsed="false">
      <c r="B6" s="97" t="s">
        <v>308</v>
      </c>
      <c r="C6" s="97" t="s">
        <v>12</v>
      </c>
      <c r="D6" s="97" t="s">
        <v>309</v>
      </c>
      <c r="E6" s="97" t="s">
        <v>310</v>
      </c>
      <c r="F6" s="97" t="s">
        <v>186</v>
      </c>
      <c r="G6" s="97" t="s">
        <v>311</v>
      </c>
      <c r="H6" s="97" t="s">
        <v>312</v>
      </c>
      <c r="I6" s="97" t="s">
        <v>313</v>
      </c>
      <c r="J6" s="97" t="s">
        <v>314</v>
      </c>
      <c r="K6" s="97" t="s">
        <v>315</v>
      </c>
      <c r="L6" s="97" t="s">
        <v>316</v>
      </c>
      <c r="M6" s="97" t="s">
        <v>46</v>
      </c>
      <c r="N6" s="97" t="s">
        <v>317</v>
      </c>
    </row>
    <row r="7" customFormat="false" ht="30" hidden="false" customHeight="true" outlineLevel="0" collapsed="false">
      <c r="B7" s="86" t="s">
        <v>318</v>
      </c>
      <c r="C7" s="86" t="s">
        <v>198</v>
      </c>
      <c r="D7" s="86" t="s">
        <v>164</v>
      </c>
      <c r="E7" s="86" t="s">
        <v>257</v>
      </c>
      <c r="F7" s="93" t="s">
        <v>221</v>
      </c>
      <c r="G7" s="86" t="s">
        <v>319</v>
      </c>
      <c r="H7" s="86" t="s">
        <v>320</v>
      </c>
      <c r="I7" s="87" t="s">
        <v>321</v>
      </c>
      <c r="J7" s="87" t="s">
        <v>322</v>
      </c>
      <c r="K7" s="89" t="s">
        <v>319</v>
      </c>
      <c r="L7" s="86" t="s">
        <v>264</v>
      </c>
      <c r="M7" s="86" t="s">
        <v>260</v>
      </c>
      <c r="N7" s="86" t="s">
        <v>50</v>
      </c>
    </row>
    <row r="8" customFormat="false" ht="30" hidden="false" customHeight="true" outlineLevel="0" collapsed="false">
      <c r="B8" s="98" t="s">
        <v>323</v>
      </c>
      <c r="C8" s="98" t="s">
        <v>273</v>
      </c>
      <c r="D8" s="98" t="s">
        <v>237</v>
      </c>
      <c r="E8" s="98" t="s">
        <v>286</v>
      </c>
      <c r="F8" s="93" t="s">
        <v>221</v>
      </c>
      <c r="G8" s="98" t="s">
        <v>324</v>
      </c>
      <c r="H8" s="98" t="s">
        <v>325</v>
      </c>
      <c r="I8" s="99" t="s">
        <v>326</v>
      </c>
      <c r="J8" s="99" t="s">
        <v>327</v>
      </c>
      <c r="K8" s="100" t="s">
        <v>324</v>
      </c>
      <c r="L8" s="98" t="s">
        <v>264</v>
      </c>
      <c r="M8" s="98" t="s">
        <v>214</v>
      </c>
      <c r="N8" s="98" t="s">
        <v>122</v>
      </c>
    </row>
    <row r="9" customFormat="false" ht="30" hidden="false" customHeight="true" outlineLevel="0" collapsed="false">
      <c r="B9" s="86" t="s">
        <v>328</v>
      </c>
      <c r="C9" s="86" t="s">
        <v>273</v>
      </c>
      <c r="D9" s="86" t="s">
        <v>300</v>
      </c>
      <c r="E9" s="86" t="s">
        <v>299</v>
      </c>
      <c r="F9" s="93" t="s">
        <v>221</v>
      </c>
      <c r="G9" s="86" t="s">
        <v>319</v>
      </c>
      <c r="H9" s="86" t="s">
        <v>329</v>
      </c>
      <c r="I9" s="87" t="s">
        <v>330</v>
      </c>
      <c r="J9" s="87" t="s">
        <v>331</v>
      </c>
      <c r="K9" s="89" t="s">
        <v>319</v>
      </c>
      <c r="L9" s="86" t="s">
        <v>264</v>
      </c>
      <c r="M9" s="86" t="s">
        <v>223</v>
      </c>
      <c r="N9" s="86" t="s">
        <v>50</v>
      </c>
    </row>
    <row r="10" customFormat="false" ht="30" hidden="false" customHeight="true" outlineLevel="0" collapsed="false">
      <c r="B10" s="98" t="s">
        <v>332</v>
      </c>
      <c r="C10" s="98" t="s">
        <v>198</v>
      </c>
      <c r="D10" s="98" t="s">
        <v>162</v>
      </c>
      <c r="E10" s="98" t="s">
        <v>333</v>
      </c>
      <c r="F10" s="101" t="s">
        <v>334</v>
      </c>
      <c r="G10" s="98" t="s">
        <v>319</v>
      </c>
      <c r="H10" s="98" t="s">
        <v>335</v>
      </c>
      <c r="I10" s="99" t="s">
        <v>336</v>
      </c>
      <c r="J10" s="99" t="s">
        <v>337</v>
      </c>
      <c r="K10" s="89" t="s">
        <v>319</v>
      </c>
      <c r="L10" s="98" t="s">
        <v>338</v>
      </c>
      <c r="M10" s="98" t="s">
        <v>245</v>
      </c>
      <c r="N10" s="98" t="s">
        <v>72</v>
      </c>
    </row>
    <row r="11" customFormat="false" ht="30" hidden="false" customHeight="true" outlineLevel="0" collapsed="false">
      <c r="B11" s="86" t="s">
        <v>339</v>
      </c>
      <c r="C11" s="86" t="s">
        <v>198</v>
      </c>
      <c r="D11" s="86" t="s">
        <v>340</v>
      </c>
      <c r="E11" s="86" t="s">
        <v>333</v>
      </c>
      <c r="F11" s="101" t="s">
        <v>334</v>
      </c>
      <c r="G11" s="86" t="s">
        <v>319</v>
      </c>
      <c r="H11" s="86" t="s">
        <v>320</v>
      </c>
      <c r="I11" s="87" t="s">
        <v>341</v>
      </c>
      <c r="J11" s="87" t="s">
        <v>342</v>
      </c>
      <c r="K11" s="89" t="s">
        <v>319</v>
      </c>
      <c r="L11" s="86" t="s">
        <v>338</v>
      </c>
      <c r="M11" s="86" t="s">
        <v>203</v>
      </c>
      <c r="N11" s="86" t="s">
        <v>72</v>
      </c>
    </row>
    <row r="12" customFormat="false" ht="30" hidden="false" customHeight="true" outlineLevel="0" collapsed="false">
      <c r="B12" s="98" t="s">
        <v>343</v>
      </c>
      <c r="C12" s="98" t="s">
        <v>273</v>
      </c>
      <c r="D12" s="98" t="s">
        <v>163</v>
      </c>
      <c r="E12" s="98" t="s">
        <v>333</v>
      </c>
      <c r="F12" s="93" t="s">
        <v>221</v>
      </c>
      <c r="G12" s="98" t="s">
        <v>319</v>
      </c>
      <c r="H12" s="98" t="s">
        <v>344</v>
      </c>
      <c r="I12" s="99" t="s">
        <v>345</v>
      </c>
      <c r="J12" s="99" t="s">
        <v>346</v>
      </c>
      <c r="K12" s="100" t="s">
        <v>324</v>
      </c>
      <c r="L12" s="98" t="s">
        <v>264</v>
      </c>
      <c r="M12" s="98" t="s">
        <v>252</v>
      </c>
      <c r="N12" s="98" t="s">
        <v>67</v>
      </c>
    </row>
    <row r="13" customFormat="false" ht="30" hidden="false" customHeight="true" outlineLevel="0" collapsed="false">
      <c r="B13" s="86" t="s">
        <v>347</v>
      </c>
      <c r="C13" s="86" t="s">
        <v>198</v>
      </c>
      <c r="D13" s="86" t="s">
        <v>166</v>
      </c>
      <c r="E13" s="86" t="s">
        <v>333</v>
      </c>
      <c r="F13" s="101" t="s">
        <v>334</v>
      </c>
      <c r="G13" s="86" t="s">
        <v>319</v>
      </c>
      <c r="H13" s="86" t="s">
        <v>320</v>
      </c>
      <c r="I13" s="87" t="s">
        <v>348</v>
      </c>
      <c r="J13" s="87" t="s">
        <v>349</v>
      </c>
      <c r="K13" s="89" t="s">
        <v>319</v>
      </c>
      <c r="L13" s="86" t="s">
        <v>338</v>
      </c>
      <c r="M13" s="86" t="s">
        <v>231</v>
      </c>
      <c r="N13" s="86" t="s">
        <v>50</v>
      </c>
    </row>
    <row r="14" customFormat="false" ht="30" hidden="false" customHeight="true" outlineLevel="0" collapsed="false">
      <c r="B14" s="98" t="s">
        <v>350</v>
      </c>
      <c r="C14" s="98" t="s">
        <v>273</v>
      </c>
      <c r="D14" s="98" t="s">
        <v>351</v>
      </c>
      <c r="E14" s="98" t="s">
        <v>333</v>
      </c>
      <c r="F14" s="93" t="s">
        <v>221</v>
      </c>
      <c r="G14" s="98" t="s">
        <v>319</v>
      </c>
      <c r="H14" s="98" t="s">
        <v>352</v>
      </c>
      <c r="I14" s="99" t="s">
        <v>353</v>
      </c>
      <c r="J14" s="99" t="s">
        <v>354</v>
      </c>
      <c r="K14" s="89" t="s">
        <v>319</v>
      </c>
      <c r="L14" s="98" t="s">
        <v>264</v>
      </c>
      <c r="M14" s="98" t="s">
        <v>214</v>
      </c>
      <c r="N14" s="98" t="s">
        <v>50</v>
      </c>
    </row>
    <row r="16" customFormat="false" ht="19.5" hidden="false" customHeight="true" outlineLevel="0" collapsed="false">
      <c r="B16" s="25" t="s">
        <v>355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customFormat="false" ht="24" hidden="false" customHeight="true" outlineLevel="0" collapsed="false">
      <c r="B17" s="44" t="s">
        <v>316</v>
      </c>
      <c r="C17" s="44" t="s">
        <v>356</v>
      </c>
      <c r="D17" s="44" t="s">
        <v>357</v>
      </c>
      <c r="E17" s="44" t="s">
        <v>358</v>
      </c>
      <c r="F17" s="44" t="s">
        <v>359</v>
      </c>
      <c r="G17" s="44" t="s">
        <v>360</v>
      </c>
      <c r="H17" s="44" t="s">
        <v>46</v>
      </c>
    </row>
    <row r="18" customFormat="false" ht="21.75" hidden="false" customHeight="true" outlineLevel="0" collapsed="false">
      <c r="B18" s="102" t="s">
        <v>361</v>
      </c>
      <c r="C18" s="103" t="n">
        <f aca="false">COUNTIF(L7:L14,"v1.1")</f>
        <v>5</v>
      </c>
      <c r="D18" s="103" t="n">
        <f aca="false">COUNTIFS(F7:F14,"P2",L7:L14,"v1.1")</f>
        <v>0</v>
      </c>
      <c r="E18" s="103" t="n">
        <f aca="false">COUNTIFS(F7:F14,"P3",L7:L14,"v1.1")</f>
        <v>5</v>
      </c>
      <c r="F18" s="103" t="n">
        <f aca="false">COUNTIFS(F7:F14,"P4",L7:L14,"v1.1")</f>
        <v>0</v>
      </c>
      <c r="G18" s="103" t="s">
        <v>362</v>
      </c>
      <c r="H18" s="103" t="s">
        <v>53</v>
      </c>
      <c r="I18" s="103" t="s">
        <v>363</v>
      </c>
    </row>
    <row r="19" customFormat="false" ht="21.75" hidden="false" customHeight="true" outlineLevel="0" collapsed="false">
      <c r="B19" s="27" t="s">
        <v>364</v>
      </c>
      <c r="C19" s="28" t="n">
        <f aca="false">COUNTIF(L7:L14,"v1.2")</f>
        <v>3</v>
      </c>
      <c r="D19" s="28" t="n">
        <f aca="false">COUNTIFS(F7:F14,"P2",L7:L14,"v1.2")</f>
        <v>0</v>
      </c>
      <c r="E19" s="28" t="n">
        <f aca="false">COUNTIFS(F7:F14,"P3",L7:L14,"v1.2")</f>
        <v>0</v>
      </c>
      <c r="F19" s="28" t="n">
        <f aca="false">COUNTIFS(F7:F14,"P4",L7:L14,"v1.2")</f>
        <v>3</v>
      </c>
      <c r="G19" s="28" t="s">
        <v>365</v>
      </c>
      <c r="H19" s="28" t="s">
        <v>53</v>
      </c>
      <c r="I19" s="28" t="s">
        <v>366</v>
      </c>
    </row>
  </sheetData>
  <mergeCells count="3">
    <mergeCell ref="B1:N3"/>
    <mergeCell ref="B5:N5"/>
    <mergeCell ref="B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O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26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5" min="14" style="0" width="3"/>
  </cols>
  <sheetData>
    <row r="1" customFormat="false" ht="15" hidden="false" customHeight="false" outlineLevel="0" collapsed="false">
      <c r="A1" s="1"/>
      <c r="B1" s="104" t="s">
        <v>367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"/>
    </row>
    <row r="2" customFormat="false" ht="15" hidden="false" customHeight="false" outlineLevel="0" collapsed="false">
      <c r="A2" s="1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"/>
    </row>
    <row r="3" customFormat="false" ht="15" hidden="false" customHeight="false" outlineLevel="0" collapsed="false">
      <c r="A3" s="1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"/>
    </row>
    <row r="4" customFormat="false" ht="15" hidden="false" customHeight="false" outlineLevel="0" collapsed="false">
      <c r="A4" s="1"/>
      <c r="B4" s="53" t="s">
        <v>368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1"/>
    </row>
    <row r="5" customFormat="false" ht="7.5" hidden="false" customHeight="true" outlineLevel="0" collapsed="false"/>
    <row r="6" customFormat="false" ht="27.75" hidden="false" customHeight="true" outlineLevel="0" collapsed="false">
      <c r="B6" s="54" t="s">
        <v>369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customFormat="false" ht="7.5" hidden="false" customHeight="true" outlineLevel="0" collapsed="false"/>
    <row r="8" customFormat="false" ht="21.75" hidden="false" customHeight="true" outlineLevel="0" collapsed="false">
      <c r="B8" s="25" t="s">
        <v>370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customFormat="false" ht="27.75" hidden="false" customHeight="true" outlineLevel="0" collapsed="false">
      <c r="B9" s="26" t="s">
        <v>42</v>
      </c>
      <c r="C9" s="26" t="s">
        <v>76</v>
      </c>
      <c r="D9" s="26" t="s">
        <v>371</v>
      </c>
      <c r="E9" s="26"/>
      <c r="F9" s="26" t="s">
        <v>46</v>
      </c>
      <c r="G9" s="26" t="s">
        <v>372</v>
      </c>
      <c r="H9" s="26" t="s">
        <v>373</v>
      </c>
      <c r="I9" s="26" t="s">
        <v>374</v>
      </c>
      <c r="J9" s="26" t="s">
        <v>18</v>
      </c>
      <c r="K9" s="26"/>
      <c r="L9" s="26"/>
      <c r="M9" s="26"/>
    </row>
    <row r="10" customFormat="false" ht="24" hidden="false" customHeight="true" outlineLevel="0" collapsed="false">
      <c r="B10" s="28" t="n">
        <v>1</v>
      </c>
      <c r="C10" s="105" t="s">
        <v>375</v>
      </c>
      <c r="D10" s="56" t="s">
        <v>376</v>
      </c>
      <c r="E10" s="56"/>
      <c r="F10" s="57" t="s">
        <v>377</v>
      </c>
      <c r="G10" s="28" t="s">
        <v>61</v>
      </c>
      <c r="H10" s="106" t="s">
        <v>378</v>
      </c>
      <c r="I10" s="106"/>
      <c r="J10" s="57" t="s">
        <v>208</v>
      </c>
      <c r="K10" s="28" t="s">
        <v>208</v>
      </c>
      <c r="L10" s="107" t="s">
        <v>49</v>
      </c>
      <c r="M10" s="107"/>
      <c r="N10" s="107"/>
    </row>
    <row r="11" customFormat="false" ht="24" hidden="false" customHeight="true" outlineLevel="0" collapsed="false">
      <c r="B11" s="31" t="n">
        <v>2</v>
      </c>
      <c r="C11" s="108" t="s">
        <v>379</v>
      </c>
      <c r="D11" s="59" t="s">
        <v>380</v>
      </c>
      <c r="E11" s="59"/>
      <c r="F11" s="60" t="s">
        <v>377</v>
      </c>
      <c r="G11" s="31" t="s">
        <v>61</v>
      </c>
      <c r="H11" s="109" t="s">
        <v>381</v>
      </c>
      <c r="I11" s="109"/>
      <c r="J11" s="60" t="s">
        <v>208</v>
      </c>
      <c r="K11" s="31" t="s">
        <v>208</v>
      </c>
      <c r="L11" s="107" t="s">
        <v>49</v>
      </c>
      <c r="M11" s="107"/>
      <c r="N11" s="107"/>
    </row>
    <row r="12" customFormat="false" ht="24" hidden="false" customHeight="true" outlineLevel="0" collapsed="false">
      <c r="B12" s="28" t="n">
        <v>3</v>
      </c>
      <c r="C12" s="105" t="s">
        <v>382</v>
      </c>
      <c r="D12" s="56" t="s">
        <v>383</v>
      </c>
      <c r="E12" s="56"/>
      <c r="F12" s="57" t="s">
        <v>384</v>
      </c>
      <c r="G12" s="28" t="s">
        <v>95</v>
      </c>
      <c r="H12" s="106" t="s">
        <v>385</v>
      </c>
      <c r="I12" s="106"/>
      <c r="J12" s="57" t="s">
        <v>208</v>
      </c>
      <c r="K12" s="28" t="s">
        <v>208</v>
      </c>
      <c r="L12" s="107" t="s">
        <v>49</v>
      </c>
      <c r="M12" s="107"/>
      <c r="N12" s="107"/>
    </row>
    <row r="13" customFormat="false" ht="24" hidden="false" customHeight="true" outlineLevel="0" collapsed="false">
      <c r="B13" s="31" t="n">
        <v>4</v>
      </c>
      <c r="C13" s="108" t="s">
        <v>386</v>
      </c>
      <c r="D13" s="59" t="s">
        <v>387</v>
      </c>
      <c r="E13" s="59"/>
      <c r="F13" s="60" t="s">
        <v>388</v>
      </c>
      <c r="G13" s="31" t="s">
        <v>50</v>
      </c>
      <c r="H13" s="109" t="s">
        <v>389</v>
      </c>
      <c r="I13" s="109"/>
      <c r="J13" s="60" t="s">
        <v>208</v>
      </c>
      <c r="K13" s="31" t="s">
        <v>208</v>
      </c>
      <c r="L13" s="107" t="s">
        <v>49</v>
      </c>
      <c r="M13" s="107"/>
      <c r="N13" s="107"/>
    </row>
    <row r="14" customFormat="false" ht="24" hidden="false" customHeight="true" outlineLevel="0" collapsed="false">
      <c r="B14" s="28" t="n">
        <v>5</v>
      </c>
      <c r="C14" s="105" t="s">
        <v>390</v>
      </c>
      <c r="D14" s="56" t="s">
        <v>391</v>
      </c>
      <c r="E14" s="56"/>
      <c r="F14" s="57" t="s">
        <v>392</v>
      </c>
      <c r="G14" s="28" t="s">
        <v>95</v>
      </c>
      <c r="H14" s="106" t="s">
        <v>393</v>
      </c>
      <c r="I14" s="106"/>
      <c r="J14" s="57" t="s">
        <v>208</v>
      </c>
      <c r="K14" s="28" t="s">
        <v>208</v>
      </c>
      <c r="L14" s="107" t="s">
        <v>49</v>
      </c>
      <c r="M14" s="107"/>
      <c r="N14" s="107"/>
    </row>
    <row r="15" customFormat="false" ht="24" hidden="false" customHeight="true" outlineLevel="0" collapsed="false">
      <c r="B15" s="31" t="n">
        <v>6</v>
      </c>
      <c r="C15" s="108" t="s">
        <v>394</v>
      </c>
      <c r="D15" s="59" t="s">
        <v>395</v>
      </c>
      <c r="E15" s="59"/>
      <c r="F15" s="60" t="s">
        <v>396</v>
      </c>
      <c r="G15" s="31" t="s">
        <v>88</v>
      </c>
      <c r="H15" s="109" t="s">
        <v>397</v>
      </c>
      <c r="I15" s="109"/>
      <c r="J15" s="60" t="s">
        <v>208</v>
      </c>
      <c r="K15" s="31" t="s">
        <v>208</v>
      </c>
      <c r="L15" s="107" t="s">
        <v>49</v>
      </c>
      <c r="M15" s="107"/>
      <c r="N15" s="107"/>
    </row>
    <row r="16" customFormat="false" ht="24" hidden="false" customHeight="true" outlineLevel="0" collapsed="false">
      <c r="B16" s="28" t="n">
        <v>7</v>
      </c>
      <c r="C16" s="105" t="s">
        <v>398</v>
      </c>
      <c r="D16" s="56" t="s">
        <v>399</v>
      </c>
      <c r="E16" s="56"/>
      <c r="F16" s="57" t="s">
        <v>400</v>
      </c>
      <c r="G16" s="28" t="s">
        <v>88</v>
      </c>
      <c r="H16" s="106" t="s">
        <v>401</v>
      </c>
      <c r="I16" s="106"/>
      <c r="J16" s="57" t="s">
        <v>208</v>
      </c>
      <c r="K16" s="28" t="s">
        <v>208</v>
      </c>
      <c r="L16" s="107" t="s">
        <v>49</v>
      </c>
      <c r="M16" s="107"/>
      <c r="N16" s="107"/>
    </row>
    <row r="17" customFormat="false" ht="24" hidden="false" customHeight="true" outlineLevel="0" collapsed="false">
      <c r="B17" s="31" t="n">
        <v>8</v>
      </c>
      <c r="C17" s="108" t="s">
        <v>402</v>
      </c>
      <c r="D17" s="59" t="s">
        <v>403</v>
      </c>
      <c r="E17" s="59"/>
      <c r="F17" s="60" t="s">
        <v>404</v>
      </c>
      <c r="G17" s="31" t="s">
        <v>50</v>
      </c>
      <c r="H17" s="109" t="s">
        <v>405</v>
      </c>
      <c r="I17" s="109"/>
      <c r="J17" s="60" t="s">
        <v>208</v>
      </c>
      <c r="K17" s="31" t="s">
        <v>208</v>
      </c>
      <c r="L17" s="107" t="s">
        <v>49</v>
      </c>
      <c r="M17" s="107"/>
      <c r="N17" s="107"/>
    </row>
    <row r="18" customFormat="false" ht="24" hidden="false" customHeight="true" outlineLevel="0" collapsed="false">
      <c r="B18" s="28" t="n">
        <v>9</v>
      </c>
      <c r="C18" s="105" t="s">
        <v>406</v>
      </c>
      <c r="D18" s="56" t="s">
        <v>407</v>
      </c>
      <c r="E18" s="56"/>
      <c r="F18" s="57" t="s">
        <v>404</v>
      </c>
      <c r="G18" s="28" t="s">
        <v>72</v>
      </c>
      <c r="H18" s="106" t="s">
        <v>408</v>
      </c>
      <c r="I18" s="106"/>
      <c r="J18" s="57" t="s">
        <v>208</v>
      </c>
      <c r="K18" s="28" t="s">
        <v>208</v>
      </c>
      <c r="L18" s="107" t="s">
        <v>49</v>
      </c>
      <c r="M18" s="107"/>
      <c r="N18" s="107"/>
    </row>
    <row r="19" customFormat="false" ht="24" hidden="false" customHeight="true" outlineLevel="0" collapsed="false">
      <c r="B19" s="31" t="n">
        <v>10</v>
      </c>
      <c r="C19" s="108" t="s">
        <v>409</v>
      </c>
      <c r="D19" s="59" t="s">
        <v>410</v>
      </c>
      <c r="E19" s="59"/>
      <c r="F19" s="60" t="s">
        <v>411</v>
      </c>
      <c r="G19" s="31" t="s">
        <v>412</v>
      </c>
      <c r="H19" s="109" t="s">
        <v>413</v>
      </c>
      <c r="I19" s="109"/>
      <c r="J19" s="60" t="s">
        <v>208</v>
      </c>
      <c r="K19" s="31" t="s">
        <v>208</v>
      </c>
      <c r="L19" s="107" t="s">
        <v>49</v>
      </c>
      <c r="M19" s="107"/>
      <c r="N19" s="107"/>
    </row>
    <row r="20" customFormat="false" ht="24" hidden="false" customHeight="true" outlineLevel="0" collapsed="false">
      <c r="B20" s="28" t="n">
        <v>11</v>
      </c>
      <c r="C20" s="105" t="s">
        <v>414</v>
      </c>
      <c r="D20" s="56" t="s">
        <v>415</v>
      </c>
      <c r="E20" s="56"/>
      <c r="F20" s="57" t="s">
        <v>416</v>
      </c>
      <c r="G20" s="28" t="s">
        <v>122</v>
      </c>
      <c r="H20" s="106" t="s">
        <v>417</v>
      </c>
      <c r="I20" s="106"/>
      <c r="J20" s="57" t="s">
        <v>208</v>
      </c>
      <c r="K20" s="28" t="s">
        <v>208</v>
      </c>
      <c r="L20" s="107" t="s">
        <v>49</v>
      </c>
      <c r="M20" s="107"/>
      <c r="N20" s="107"/>
    </row>
    <row r="21" customFormat="false" ht="24" hidden="false" customHeight="true" outlineLevel="0" collapsed="false">
      <c r="B21" s="31" t="n">
        <v>12</v>
      </c>
      <c r="C21" s="108" t="s">
        <v>418</v>
      </c>
      <c r="D21" s="59" t="s">
        <v>419</v>
      </c>
      <c r="E21" s="59"/>
      <c r="F21" s="60" t="s">
        <v>420</v>
      </c>
      <c r="G21" s="31" t="s">
        <v>72</v>
      </c>
      <c r="H21" s="109" t="s">
        <v>421</v>
      </c>
      <c r="I21" s="109"/>
      <c r="J21" s="60" t="s">
        <v>208</v>
      </c>
      <c r="K21" s="31" t="s">
        <v>208</v>
      </c>
      <c r="L21" s="107" t="s">
        <v>49</v>
      </c>
      <c r="M21" s="107"/>
      <c r="N21" s="107"/>
    </row>
    <row r="22" customFormat="false" ht="24" hidden="false" customHeight="true" outlineLevel="0" collapsed="false">
      <c r="B22" s="28" t="n">
        <v>13</v>
      </c>
      <c r="C22" s="105" t="s">
        <v>422</v>
      </c>
      <c r="D22" s="56" t="s">
        <v>423</v>
      </c>
      <c r="E22" s="56"/>
      <c r="F22" s="57" t="s">
        <v>424</v>
      </c>
      <c r="G22" s="28" t="s">
        <v>88</v>
      </c>
      <c r="H22" s="106" t="s">
        <v>425</v>
      </c>
      <c r="I22" s="106"/>
      <c r="J22" s="57" t="s">
        <v>208</v>
      </c>
      <c r="K22" s="28" t="s">
        <v>208</v>
      </c>
      <c r="L22" s="107" t="s">
        <v>49</v>
      </c>
      <c r="M22" s="107"/>
      <c r="N22" s="107"/>
    </row>
    <row r="23" customFormat="false" ht="24" hidden="false" customHeight="true" outlineLevel="0" collapsed="false">
      <c r="B23" s="31" t="n">
        <v>14</v>
      </c>
      <c r="C23" s="108" t="s">
        <v>426</v>
      </c>
      <c r="D23" s="59" t="s">
        <v>427</v>
      </c>
      <c r="E23" s="59"/>
      <c r="F23" s="60" t="s">
        <v>428</v>
      </c>
      <c r="G23" s="31" t="s">
        <v>50</v>
      </c>
      <c r="H23" s="109" t="s">
        <v>429</v>
      </c>
      <c r="I23" s="109"/>
      <c r="J23" s="60" t="s">
        <v>208</v>
      </c>
      <c r="K23" s="31" t="s">
        <v>208</v>
      </c>
      <c r="L23" s="107" t="s">
        <v>49</v>
      </c>
      <c r="M23" s="107"/>
      <c r="N23" s="107"/>
    </row>
    <row r="24" customFormat="false" ht="9.75" hidden="false" customHeight="true" outlineLevel="0" collapsed="false"/>
    <row r="25" customFormat="false" ht="21.75" hidden="false" customHeight="true" outlineLevel="0" collapsed="false">
      <c r="B25" s="61" t="s">
        <v>430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customFormat="false" ht="27.75" hidden="false" customHeight="true" outlineLevel="0" collapsed="false">
      <c r="B26" s="36" t="s">
        <v>42</v>
      </c>
      <c r="C26" s="36" t="s">
        <v>76</v>
      </c>
      <c r="D26" s="36" t="s">
        <v>431</v>
      </c>
      <c r="E26" s="36"/>
      <c r="F26" s="36" t="s">
        <v>432</v>
      </c>
      <c r="G26" s="36" t="s">
        <v>433</v>
      </c>
      <c r="H26" s="36" t="s">
        <v>186</v>
      </c>
      <c r="I26" s="36" t="s">
        <v>18</v>
      </c>
      <c r="J26" s="36"/>
      <c r="K26" s="36"/>
      <c r="L26" s="45"/>
      <c r="M26" s="45"/>
      <c r="N26" s="45"/>
    </row>
    <row r="27" customFormat="false" ht="25.5" hidden="false" customHeight="true" outlineLevel="0" collapsed="false">
      <c r="B27" s="28" t="n">
        <v>1</v>
      </c>
      <c r="C27" s="110" t="s">
        <v>434</v>
      </c>
      <c r="D27" s="56" t="s">
        <v>435</v>
      </c>
      <c r="E27" s="56"/>
      <c r="F27" s="57" t="s">
        <v>436</v>
      </c>
      <c r="G27" s="56" t="s">
        <v>437</v>
      </c>
      <c r="H27" s="56"/>
      <c r="I27" s="106" t="s">
        <v>438</v>
      </c>
      <c r="J27" s="106"/>
      <c r="K27" s="106"/>
      <c r="L27" s="111" t="s">
        <v>439</v>
      </c>
      <c r="M27" s="112" t="s">
        <v>440</v>
      </c>
      <c r="N27" s="112"/>
    </row>
    <row r="28" customFormat="false" ht="25.5" hidden="false" customHeight="true" outlineLevel="0" collapsed="false">
      <c r="B28" s="62" t="n">
        <v>2</v>
      </c>
      <c r="C28" s="113" t="s">
        <v>441</v>
      </c>
      <c r="D28" s="64" t="s">
        <v>442</v>
      </c>
      <c r="E28" s="64"/>
      <c r="F28" s="65" t="s">
        <v>443</v>
      </c>
      <c r="G28" s="64" t="s">
        <v>444</v>
      </c>
      <c r="H28" s="64"/>
      <c r="I28" s="114" t="s">
        <v>445</v>
      </c>
      <c r="J28" s="114"/>
      <c r="K28" s="114"/>
      <c r="L28" s="111" t="s">
        <v>439</v>
      </c>
      <c r="M28" s="112" t="s">
        <v>440</v>
      </c>
      <c r="N28" s="112"/>
    </row>
    <row r="29" customFormat="false" ht="25.5" hidden="false" customHeight="true" outlineLevel="0" collapsed="false">
      <c r="B29" s="28" t="n">
        <v>3</v>
      </c>
      <c r="C29" s="110" t="s">
        <v>446</v>
      </c>
      <c r="D29" s="56" t="s">
        <v>447</v>
      </c>
      <c r="E29" s="56"/>
      <c r="F29" s="57" t="s">
        <v>448</v>
      </c>
      <c r="G29" s="56" t="s">
        <v>449</v>
      </c>
      <c r="H29" s="56"/>
      <c r="I29" s="106" t="s">
        <v>450</v>
      </c>
      <c r="J29" s="106"/>
      <c r="K29" s="106"/>
      <c r="L29" s="111" t="s">
        <v>439</v>
      </c>
      <c r="M29" s="112" t="s">
        <v>440</v>
      </c>
      <c r="N29" s="112"/>
    </row>
    <row r="30" customFormat="false" ht="25.5" hidden="false" customHeight="true" outlineLevel="0" collapsed="false">
      <c r="B30" s="62" t="n">
        <v>4</v>
      </c>
      <c r="C30" s="113" t="s">
        <v>451</v>
      </c>
      <c r="D30" s="64" t="s">
        <v>452</v>
      </c>
      <c r="E30" s="64"/>
      <c r="F30" s="65" t="s">
        <v>448</v>
      </c>
      <c r="G30" s="64" t="s">
        <v>453</v>
      </c>
      <c r="H30" s="64"/>
      <c r="I30" s="114" t="s">
        <v>454</v>
      </c>
      <c r="J30" s="114"/>
      <c r="K30" s="114"/>
      <c r="L30" s="111" t="s">
        <v>439</v>
      </c>
      <c r="M30" s="112" t="s">
        <v>440</v>
      </c>
      <c r="N30" s="112"/>
    </row>
    <row r="31" customFormat="false" ht="25.5" hidden="false" customHeight="true" outlineLevel="0" collapsed="false">
      <c r="B31" s="28" t="n">
        <v>5</v>
      </c>
      <c r="C31" s="110" t="s">
        <v>455</v>
      </c>
      <c r="D31" s="56" t="s">
        <v>456</v>
      </c>
      <c r="E31" s="56"/>
      <c r="F31" s="57" t="s">
        <v>457</v>
      </c>
      <c r="G31" s="56" t="s">
        <v>458</v>
      </c>
      <c r="H31" s="56"/>
      <c r="I31" s="106" t="s">
        <v>459</v>
      </c>
      <c r="J31" s="106"/>
      <c r="K31" s="106"/>
      <c r="L31" s="111" t="s">
        <v>439</v>
      </c>
      <c r="M31" s="112" t="s">
        <v>440</v>
      </c>
      <c r="N31" s="112"/>
    </row>
    <row r="32" customFormat="false" ht="25.5" hidden="false" customHeight="true" outlineLevel="0" collapsed="false">
      <c r="B32" s="62" t="n">
        <v>6</v>
      </c>
      <c r="C32" s="113" t="s">
        <v>460</v>
      </c>
      <c r="D32" s="64" t="s">
        <v>461</v>
      </c>
      <c r="E32" s="64"/>
      <c r="F32" s="65" t="s">
        <v>457</v>
      </c>
      <c r="G32" s="64" t="s">
        <v>462</v>
      </c>
      <c r="H32" s="64"/>
      <c r="I32" s="114" t="s">
        <v>459</v>
      </c>
      <c r="J32" s="114"/>
      <c r="K32" s="114"/>
      <c r="L32" s="111" t="s">
        <v>439</v>
      </c>
      <c r="M32" s="112" t="s">
        <v>440</v>
      </c>
      <c r="N32" s="112"/>
    </row>
    <row r="33" customFormat="false" ht="25.5" hidden="false" customHeight="true" outlineLevel="0" collapsed="false">
      <c r="B33" s="28" t="n">
        <v>7</v>
      </c>
      <c r="C33" s="110" t="s">
        <v>463</v>
      </c>
      <c r="D33" s="56" t="s">
        <v>464</v>
      </c>
      <c r="E33" s="56"/>
      <c r="F33" s="57" t="s">
        <v>465</v>
      </c>
      <c r="G33" s="56" t="s">
        <v>466</v>
      </c>
      <c r="H33" s="56"/>
      <c r="I33" s="106" t="s">
        <v>467</v>
      </c>
      <c r="J33" s="106"/>
      <c r="K33" s="106"/>
      <c r="L33" s="111" t="s">
        <v>439</v>
      </c>
      <c r="M33" s="112" t="s">
        <v>440</v>
      </c>
      <c r="N33" s="112"/>
    </row>
    <row r="34" customFormat="false" ht="25.5" hidden="false" customHeight="true" outlineLevel="0" collapsed="false">
      <c r="B34" s="62" t="n">
        <v>8</v>
      </c>
      <c r="C34" s="113" t="s">
        <v>468</v>
      </c>
      <c r="D34" s="64" t="s">
        <v>469</v>
      </c>
      <c r="E34" s="64"/>
      <c r="F34" s="65" t="s">
        <v>470</v>
      </c>
      <c r="G34" s="64" t="s">
        <v>471</v>
      </c>
      <c r="H34" s="64"/>
      <c r="I34" s="114" t="s">
        <v>472</v>
      </c>
      <c r="J34" s="114"/>
      <c r="K34" s="114"/>
      <c r="L34" s="111" t="s">
        <v>439</v>
      </c>
      <c r="M34" s="112" t="s">
        <v>440</v>
      </c>
      <c r="N34" s="112"/>
    </row>
    <row r="35" customFormat="false" ht="25.5" hidden="false" customHeight="true" outlineLevel="0" collapsed="false">
      <c r="B35" s="28" t="n">
        <v>9</v>
      </c>
      <c r="C35" s="110" t="s">
        <v>473</v>
      </c>
      <c r="D35" s="56" t="s">
        <v>474</v>
      </c>
      <c r="E35" s="56"/>
      <c r="F35" s="57" t="s">
        <v>475</v>
      </c>
      <c r="G35" s="56" t="s">
        <v>476</v>
      </c>
      <c r="H35" s="56"/>
      <c r="I35" s="106" t="s">
        <v>477</v>
      </c>
      <c r="J35" s="106"/>
      <c r="K35" s="106"/>
      <c r="L35" s="115" t="s">
        <v>478</v>
      </c>
      <c r="M35" s="112" t="s">
        <v>440</v>
      </c>
      <c r="N35" s="112"/>
    </row>
    <row r="36" customFormat="false" ht="25.5" hidden="false" customHeight="true" outlineLevel="0" collapsed="false">
      <c r="B36" s="62" t="n">
        <v>10</v>
      </c>
      <c r="C36" s="113" t="s">
        <v>479</v>
      </c>
      <c r="D36" s="64" t="s">
        <v>480</v>
      </c>
      <c r="E36" s="64"/>
      <c r="F36" s="65" t="s">
        <v>344</v>
      </c>
      <c r="G36" s="64" t="s">
        <v>481</v>
      </c>
      <c r="H36" s="64"/>
      <c r="I36" s="114" t="s">
        <v>482</v>
      </c>
      <c r="J36" s="114"/>
      <c r="K36" s="114"/>
      <c r="L36" s="115" t="s">
        <v>478</v>
      </c>
      <c r="M36" s="112" t="s">
        <v>440</v>
      </c>
      <c r="N36" s="112"/>
    </row>
    <row r="37" customFormat="false" ht="25.5" hidden="false" customHeight="true" outlineLevel="0" collapsed="false">
      <c r="B37" s="28" t="n">
        <v>11</v>
      </c>
      <c r="C37" s="110" t="s">
        <v>483</v>
      </c>
      <c r="D37" s="56" t="s">
        <v>484</v>
      </c>
      <c r="E37" s="56"/>
      <c r="F37" s="57" t="s">
        <v>485</v>
      </c>
      <c r="G37" s="56" t="s">
        <v>486</v>
      </c>
      <c r="H37" s="56"/>
      <c r="I37" s="106" t="s">
        <v>487</v>
      </c>
      <c r="J37" s="106"/>
      <c r="K37" s="106"/>
      <c r="L37" s="111" t="s">
        <v>439</v>
      </c>
      <c r="M37" s="112" t="s">
        <v>440</v>
      </c>
      <c r="N37" s="112"/>
    </row>
    <row r="38" customFormat="false" ht="25.5" hidden="false" customHeight="true" outlineLevel="0" collapsed="false">
      <c r="B38" s="62" t="n">
        <v>12</v>
      </c>
      <c r="C38" s="113" t="s">
        <v>488</v>
      </c>
      <c r="D38" s="64" t="s">
        <v>489</v>
      </c>
      <c r="E38" s="64"/>
      <c r="F38" s="65" t="s">
        <v>490</v>
      </c>
      <c r="G38" s="64" t="s">
        <v>491</v>
      </c>
      <c r="H38" s="64"/>
      <c r="I38" s="114" t="s">
        <v>492</v>
      </c>
      <c r="J38" s="114"/>
      <c r="K38" s="114"/>
      <c r="L38" s="111" t="s">
        <v>439</v>
      </c>
      <c r="M38" s="112" t="s">
        <v>440</v>
      </c>
      <c r="N38" s="112"/>
    </row>
    <row r="39" customFormat="false" ht="9.75" hidden="false" customHeight="true" outlineLevel="0" collapsed="false"/>
    <row r="40" customFormat="false" ht="21.75" hidden="false" customHeight="true" outlineLevel="0" collapsed="false">
      <c r="B40" s="66" t="s">
        <v>493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</row>
    <row r="41" customFormat="false" ht="27.75" hidden="false" customHeight="true" outlineLevel="0" collapsed="false">
      <c r="B41" s="67" t="s">
        <v>42</v>
      </c>
      <c r="C41" s="67" t="s">
        <v>494</v>
      </c>
      <c r="D41" s="67" t="s">
        <v>495</v>
      </c>
      <c r="E41" s="67" t="s">
        <v>26</v>
      </c>
      <c r="F41" s="67" t="s">
        <v>496</v>
      </c>
      <c r="G41" s="67" t="s">
        <v>186</v>
      </c>
      <c r="H41" s="67" t="s">
        <v>497</v>
      </c>
      <c r="I41" s="67" t="s">
        <v>498</v>
      </c>
      <c r="J41" s="67" t="s">
        <v>499</v>
      </c>
      <c r="K41" s="67"/>
      <c r="L41" s="67"/>
      <c r="M41" s="67"/>
      <c r="N41" s="67"/>
    </row>
    <row r="42" customFormat="false" ht="25.5" hidden="false" customHeight="true" outlineLevel="0" collapsed="false">
      <c r="B42" s="28" t="n">
        <v>1</v>
      </c>
      <c r="C42" s="116" t="s">
        <v>500</v>
      </c>
      <c r="D42" s="56" t="s">
        <v>501</v>
      </c>
      <c r="E42" s="56"/>
      <c r="F42" s="55" t="s">
        <v>502</v>
      </c>
      <c r="G42" s="117" t="s">
        <v>503</v>
      </c>
      <c r="H42" s="118" t="s">
        <v>504</v>
      </c>
      <c r="I42" s="119" t="s">
        <v>505</v>
      </c>
      <c r="J42" s="120" t="s">
        <v>506</v>
      </c>
      <c r="K42" s="121" t="s">
        <v>507</v>
      </c>
      <c r="L42" s="121"/>
      <c r="M42" s="121"/>
      <c r="N42" s="121"/>
    </row>
    <row r="43" customFormat="false" ht="25.5" hidden="false" customHeight="true" outlineLevel="0" collapsed="false">
      <c r="B43" s="68" t="n">
        <v>2</v>
      </c>
      <c r="C43" s="122" t="s">
        <v>508</v>
      </c>
      <c r="D43" s="70" t="s">
        <v>509</v>
      </c>
      <c r="E43" s="70"/>
      <c r="F43" s="69" t="s">
        <v>502</v>
      </c>
      <c r="G43" s="123" t="s">
        <v>351</v>
      </c>
      <c r="H43" s="118" t="s">
        <v>504</v>
      </c>
      <c r="I43" s="119" t="s">
        <v>505</v>
      </c>
      <c r="J43" s="124" t="s">
        <v>506</v>
      </c>
      <c r="K43" s="125" t="s">
        <v>510</v>
      </c>
      <c r="L43" s="125"/>
      <c r="M43" s="125"/>
      <c r="N43" s="125"/>
    </row>
    <row r="44" customFormat="false" ht="25.5" hidden="false" customHeight="true" outlineLevel="0" collapsed="false">
      <c r="B44" s="28" t="n">
        <v>3</v>
      </c>
      <c r="C44" s="116" t="s">
        <v>511</v>
      </c>
      <c r="D44" s="56" t="s">
        <v>512</v>
      </c>
      <c r="E44" s="56"/>
      <c r="F44" s="55" t="s">
        <v>502</v>
      </c>
      <c r="G44" s="117" t="s">
        <v>513</v>
      </c>
      <c r="H44" s="118" t="s">
        <v>504</v>
      </c>
      <c r="I44" s="119" t="s">
        <v>505</v>
      </c>
      <c r="J44" s="120" t="s">
        <v>506</v>
      </c>
      <c r="K44" s="121" t="s">
        <v>514</v>
      </c>
      <c r="L44" s="121"/>
      <c r="M44" s="121"/>
      <c r="N44" s="121"/>
    </row>
    <row r="45" customFormat="false" ht="25.5" hidden="false" customHeight="true" outlineLevel="0" collapsed="false">
      <c r="B45" s="68" t="n">
        <v>4</v>
      </c>
      <c r="C45" s="122" t="s">
        <v>515</v>
      </c>
      <c r="D45" s="70" t="s">
        <v>516</v>
      </c>
      <c r="E45" s="70"/>
      <c r="F45" s="69" t="s">
        <v>517</v>
      </c>
      <c r="G45" s="123" t="s">
        <v>162</v>
      </c>
      <c r="H45" s="118" t="s">
        <v>504</v>
      </c>
      <c r="I45" s="119" t="s">
        <v>505</v>
      </c>
      <c r="J45" s="124" t="s">
        <v>506</v>
      </c>
      <c r="K45" s="125" t="s">
        <v>518</v>
      </c>
      <c r="L45" s="125"/>
      <c r="M45" s="125"/>
      <c r="N45" s="125"/>
    </row>
    <row r="46" customFormat="false" ht="25.5" hidden="false" customHeight="true" outlineLevel="0" collapsed="false">
      <c r="B46" s="28" t="n">
        <v>5</v>
      </c>
      <c r="C46" s="116" t="s">
        <v>519</v>
      </c>
      <c r="D46" s="56" t="s">
        <v>520</v>
      </c>
      <c r="E46" s="56"/>
      <c r="F46" s="55" t="s">
        <v>517</v>
      </c>
      <c r="G46" s="117" t="s">
        <v>163</v>
      </c>
      <c r="H46" s="126" t="s">
        <v>521</v>
      </c>
      <c r="I46" s="119" t="s">
        <v>505</v>
      </c>
      <c r="J46" s="120" t="s">
        <v>506</v>
      </c>
      <c r="K46" s="121" t="s">
        <v>522</v>
      </c>
      <c r="L46" s="121"/>
      <c r="M46" s="121"/>
      <c r="N46" s="121"/>
    </row>
    <row r="47" customFormat="false" ht="25.5" hidden="false" customHeight="true" outlineLevel="0" collapsed="false">
      <c r="B47" s="68" t="n">
        <v>6</v>
      </c>
      <c r="C47" s="122" t="s">
        <v>523</v>
      </c>
      <c r="D47" s="70" t="s">
        <v>524</v>
      </c>
      <c r="E47" s="70"/>
      <c r="F47" s="69" t="s">
        <v>517</v>
      </c>
      <c r="G47" s="123" t="s">
        <v>525</v>
      </c>
      <c r="H47" s="118" t="s">
        <v>504</v>
      </c>
      <c r="I47" s="127" t="s">
        <v>526</v>
      </c>
      <c r="J47" s="124" t="s">
        <v>506</v>
      </c>
      <c r="K47" s="125" t="s">
        <v>527</v>
      </c>
      <c r="L47" s="125"/>
      <c r="M47" s="125"/>
      <c r="N47" s="125"/>
    </row>
    <row r="48" customFormat="false" ht="25.5" hidden="false" customHeight="true" outlineLevel="0" collapsed="false">
      <c r="B48" s="28" t="n">
        <v>7</v>
      </c>
      <c r="C48" s="116" t="s">
        <v>528</v>
      </c>
      <c r="D48" s="56" t="s">
        <v>529</v>
      </c>
      <c r="E48" s="56"/>
      <c r="F48" s="55" t="s">
        <v>517</v>
      </c>
      <c r="G48" s="117" t="s">
        <v>525</v>
      </c>
      <c r="H48" s="118" t="s">
        <v>504</v>
      </c>
      <c r="I48" s="127" t="s">
        <v>526</v>
      </c>
      <c r="J48" s="120" t="s">
        <v>506</v>
      </c>
      <c r="K48" s="121" t="s">
        <v>530</v>
      </c>
      <c r="L48" s="121"/>
      <c r="M48" s="121"/>
      <c r="N48" s="121"/>
    </row>
    <row r="49" customFormat="false" ht="25.5" hidden="false" customHeight="true" outlineLevel="0" collapsed="false">
      <c r="B49" s="68" t="n">
        <v>8</v>
      </c>
      <c r="C49" s="122" t="s">
        <v>531</v>
      </c>
      <c r="D49" s="70" t="s">
        <v>532</v>
      </c>
      <c r="E49" s="70"/>
      <c r="F49" s="69" t="s">
        <v>517</v>
      </c>
      <c r="G49" s="123" t="s">
        <v>533</v>
      </c>
      <c r="H49" s="126" t="s">
        <v>521</v>
      </c>
      <c r="I49" s="128" t="s">
        <v>534</v>
      </c>
      <c r="J49" s="124" t="s">
        <v>506</v>
      </c>
      <c r="K49" s="125" t="s">
        <v>535</v>
      </c>
      <c r="L49" s="125"/>
      <c r="M49" s="125"/>
      <c r="N49" s="125"/>
    </row>
    <row r="50" customFormat="false" ht="25.5" hidden="false" customHeight="true" outlineLevel="0" collapsed="false">
      <c r="B50" s="28" t="n">
        <v>9</v>
      </c>
      <c r="C50" s="116" t="s">
        <v>536</v>
      </c>
      <c r="D50" s="56" t="s">
        <v>537</v>
      </c>
      <c r="E50" s="56"/>
      <c r="F50" s="55" t="s">
        <v>517</v>
      </c>
      <c r="G50" s="117" t="s">
        <v>533</v>
      </c>
      <c r="H50" s="118" t="s">
        <v>504</v>
      </c>
      <c r="I50" s="119" t="s">
        <v>505</v>
      </c>
      <c r="J50" s="120" t="s">
        <v>506</v>
      </c>
      <c r="K50" s="121" t="s">
        <v>538</v>
      </c>
      <c r="L50" s="121"/>
      <c r="M50" s="121"/>
      <c r="N50" s="121"/>
    </row>
    <row r="51" customFormat="false" ht="25.5" hidden="false" customHeight="true" outlineLevel="0" collapsed="false">
      <c r="B51" s="68" t="n">
        <v>10</v>
      </c>
      <c r="C51" s="122" t="s">
        <v>539</v>
      </c>
      <c r="D51" s="70" t="s">
        <v>540</v>
      </c>
      <c r="E51" s="70"/>
      <c r="F51" s="69" t="s">
        <v>541</v>
      </c>
      <c r="G51" s="123" t="s">
        <v>542</v>
      </c>
      <c r="H51" s="126" t="s">
        <v>521</v>
      </c>
      <c r="I51" s="129" t="s">
        <v>542</v>
      </c>
      <c r="J51" s="124" t="s">
        <v>506</v>
      </c>
      <c r="K51" s="125" t="s">
        <v>543</v>
      </c>
      <c r="L51" s="125"/>
      <c r="M51" s="125"/>
      <c r="N51" s="125"/>
    </row>
    <row r="52" customFormat="false" ht="25.5" hidden="false" customHeight="true" outlineLevel="0" collapsed="false">
      <c r="B52" s="28" t="n">
        <v>11</v>
      </c>
      <c r="C52" s="116" t="s">
        <v>544</v>
      </c>
      <c r="D52" s="56" t="s">
        <v>545</v>
      </c>
      <c r="E52" s="56"/>
      <c r="F52" s="55" t="s">
        <v>541</v>
      </c>
      <c r="G52" s="117" t="s">
        <v>546</v>
      </c>
      <c r="H52" s="126" t="s">
        <v>521</v>
      </c>
      <c r="I52" s="128" t="s">
        <v>534</v>
      </c>
      <c r="J52" s="120" t="s">
        <v>506</v>
      </c>
      <c r="K52" s="121" t="s">
        <v>547</v>
      </c>
      <c r="L52" s="121"/>
      <c r="M52" s="121"/>
      <c r="N52" s="121"/>
    </row>
    <row r="53" customFormat="false" ht="25.5" hidden="false" customHeight="true" outlineLevel="0" collapsed="false">
      <c r="B53" s="68" t="n">
        <v>12</v>
      </c>
      <c r="C53" s="122" t="s">
        <v>548</v>
      </c>
      <c r="D53" s="70" t="s">
        <v>549</v>
      </c>
      <c r="E53" s="70"/>
      <c r="F53" s="69" t="s">
        <v>517</v>
      </c>
      <c r="G53" s="123" t="s">
        <v>550</v>
      </c>
      <c r="H53" s="130" t="s">
        <v>324</v>
      </c>
      <c r="I53" s="119" t="s">
        <v>505</v>
      </c>
      <c r="J53" s="124" t="s">
        <v>506</v>
      </c>
      <c r="K53" s="125" t="s">
        <v>551</v>
      </c>
      <c r="L53" s="125"/>
      <c r="M53" s="125"/>
      <c r="N53" s="125"/>
    </row>
    <row r="54" customFormat="false" ht="25.5" hidden="false" customHeight="true" outlineLevel="0" collapsed="false">
      <c r="B54" s="28" t="n">
        <v>13</v>
      </c>
      <c r="C54" s="116" t="s">
        <v>552</v>
      </c>
      <c r="D54" s="56" t="s">
        <v>553</v>
      </c>
      <c r="E54" s="56"/>
      <c r="F54" s="55" t="s">
        <v>517</v>
      </c>
      <c r="G54" s="117" t="s">
        <v>162</v>
      </c>
      <c r="H54" s="130" t="s">
        <v>324</v>
      </c>
      <c r="I54" s="119" t="s">
        <v>505</v>
      </c>
      <c r="J54" s="120" t="s">
        <v>506</v>
      </c>
      <c r="K54" s="121" t="s">
        <v>554</v>
      </c>
      <c r="L54" s="121"/>
      <c r="M54" s="121"/>
      <c r="N54" s="121"/>
    </row>
    <row r="55" customFormat="false" ht="25.5" hidden="false" customHeight="true" outlineLevel="0" collapsed="false">
      <c r="B55" s="68" t="n">
        <v>14</v>
      </c>
      <c r="C55" s="122" t="s">
        <v>555</v>
      </c>
      <c r="D55" s="70" t="s">
        <v>556</v>
      </c>
      <c r="E55" s="70"/>
      <c r="F55" s="69" t="s">
        <v>517</v>
      </c>
      <c r="G55" s="123" t="s">
        <v>557</v>
      </c>
      <c r="H55" s="130" t="s">
        <v>324</v>
      </c>
      <c r="I55" s="131" t="s">
        <v>558</v>
      </c>
      <c r="J55" s="124" t="s">
        <v>506</v>
      </c>
      <c r="K55" s="125" t="s">
        <v>559</v>
      </c>
      <c r="L55" s="125"/>
      <c r="M55" s="125"/>
      <c r="N55" s="125"/>
    </row>
    <row r="56" customFormat="false" ht="25.5" hidden="false" customHeight="true" outlineLevel="0" collapsed="false">
      <c r="B56" s="28" t="n">
        <v>15</v>
      </c>
      <c r="C56" s="116" t="s">
        <v>560</v>
      </c>
      <c r="D56" s="56" t="s">
        <v>561</v>
      </c>
      <c r="E56" s="56"/>
      <c r="F56" s="55" t="s">
        <v>517</v>
      </c>
      <c r="G56" s="117" t="s">
        <v>162</v>
      </c>
      <c r="H56" s="118" t="s">
        <v>504</v>
      </c>
      <c r="I56" s="132" t="s">
        <v>344</v>
      </c>
      <c r="J56" s="120" t="s">
        <v>506</v>
      </c>
      <c r="K56" s="121" t="s">
        <v>562</v>
      </c>
      <c r="L56" s="121"/>
      <c r="M56" s="121"/>
      <c r="N56" s="121"/>
    </row>
    <row r="57" customFormat="false" ht="9.75" hidden="false" customHeight="true" outlineLevel="0" collapsed="false"/>
    <row r="58" customFormat="false" ht="21.75" hidden="false" customHeight="true" outlineLevel="0" collapsed="false">
      <c r="B58" s="25" t="s">
        <v>563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customFormat="false" ht="25.5" hidden="false" customHeight="true" outlineLevel="0" collapsed="false">
      <c r="B59" s="133" t="s">
        <v>564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</row>
    <row r="60" customFormat="false" ht="27.75" hidden="false" customHeight="true" outlineLevel="0" collapsed="false">
      <c r="B60" s="134" t="s">
        <v>42</v>
      </c>
      <c r="C60" s="134" t="s">
        <v>565</v>
      </c>
      <c r="D60" s="134" t="s">
        <v>566</v>
      </c>
      <c r="E60" s="134" t="s">
        <v>567</v>
      </c>
      <c r="F60" s="134" t="s">
        <v>568</v>
      </c>
      <c r="G60" s="134" t="s">
        <v>569</v>
      </c>
      <c r="H60" s="134" t="s">
        <v>570</v>
      </c>
      <c r="I60" s="134"/>
      <c r="J60" s="134"/>
      <c r="K60" s="134"/>
      <c r="L60" s="134"/>
      <c r="M60" s="134"/>
      <c r="N60" s="134"/>
    </row>
    <row r="61" customFormat="false" ht="30" hidden="false" customHeight="true" outlineLevel="0" collapsed="false">
      <c r="B61" s="28" t="n">
        <v>1</v>
      </c>
      <c r="C61" s="41" t="s">
        <v>571</v>
      </c>
      <c r="D61" s="41" t="s">
        <v>572</v>
      </c>
      <c r="E61" s="42" t="s">
        <v>573</v>
      </c>
      <c r="F61" s="42" t="s">
        <v>208</v>
      </c>
      <c r="G61" s="40" t="s">
        <v>574</v>
      </c>
      <c r="H61" s="41"/>
      <c r="I61" s="41"/>
      <c r="J61" s="41"/>
      <c r="K61" s="41"/>
      <c r="L61" s="41"/>
      <c r="M61" s="41"/>
      <c r="N61" s="41"/>
    </row>
    <row r="62" customFormat="false" ht="30" hidden="false" customHeight="true" outlineLevel="0" collapsed="false">
      <c r="B62" s="48" t="n">
        <v>2</v>
      </c>
      <c r="C62" s="135" t="s">
        <v>571</v>
      </c>
      <c r="D62" s="135" t="s">
        <v>575</v>
      </c>
      <c r="E62" s="136" t="s">
        <v>34</v>
      </c>
      <c r="F62" s="136" t="s">
        <v>208</v>
      </c>
      <c r="G62" s="40" t="s">
        <v>574</v>
      </c>
      <c r="H62" s="135"/>
      <c r="I62" s="135"/>
      <c r="J62" s="135"/>
      <c r="K62" s="135"/>
      <c r="L62" s="135"/>
      <c r="M62" s="135"/>
      <c r="N62" s="135"/>
    </row>
    <row r="63" customFormat="false" ht="30" hidden="false" customHeight="true" outlineLevel="0" collapsed="false">
      <c r="B63" s="28" t="n">
        <v>3</v>
      </c>
      <c r="C63" s="41" t="s">
        <v>571</v>
      </c>
      <c r="D63" s="41" t="s">
        <v>575</v>
      </c>
      <c r="E63" s="42" t="s">
        <v>39</v>
      </c>
      <c r="F63" s="42" t="s">
        <v>208</v>
      </c>
      <c r="G63" s="40" t="s">
        <v>574</v>
      </c>
      <c r="H63" s="41"/>
      <c r="I63" s="41"/>
      <c r="J63" s="41"/>
      <c r="K63" s="41"/>
      <c r="L63" s="41"/>
      <c r="M63" s="41"/>
      <c r="N63" s="41"/>
    </row>
    <row r="64" customFormat="false" ht="30" hidden="false" customHeight="true" outlineLevel="0" collapsed="false">
      <c r="B64" s="48" t="n">
        <v>4</v>
      </c>
      <c r="C64" s="135" t="s">
        <v>571</v>
      </c>
      <c r="D64" s="135" t="s">
        <v>576</v>
      </c>
      <c r="E64" s="136" t="s">
        <v>577</v>
      </c>
      <c r="F64" s="136" t="s">
        <v>208</v>
      </c>
      <c r="G64" s="40" t="s">
        <v>574</v>
      </c>
      <c r="H64" s="135"/>
      <c r="I64" s="135"/>
      <c r="J64" s="135"/>
      <c r="K64" s="135"/>
      <c r="L64" s="135"/>
      <c r="M64" s="135"/>
      <c r="N64" s="135"/>
    </row>
    <row r="65" customFormat="false" ht="30" hidden="false" customHeight="true" outlineLevel="0" collapsed="false">
      <c r="B65" s="28" t="n">
        <v>5</v>
      </c>
      <c r="C65" s="41" t="s">
        <v>571</v>
      </c>
      <c r="D65" s="41" t="s">
        <v>578</v>
      </c>
      <c r="E65" s="42" t="s">
        <v>579</v>
      </c>
      <c r="F65" s="42" t="s">
        <v>208</v>
      </c>
      <c r="G65" s="40" t="s">
        <v>574</v>
      </c>
      <c r="H65" s="41"/>
      <c r="I65" s="41"/>
      <c r="J65" s="41"/>
      <c r="K65" s="41"/>
      <c r="L65" s="41"/>
      <c r="M65" s="41"/>
      <c r="N65" s="41"/>
    </row>
    <row r="66" customFormat="false" ht="30" hidden="false" customHeight="true" outlineLevel="0" collapsed="false">
      <c r="B66" s="48" t="n">
        <v>6</v>
      </c>
      <c r="C66" s="135" t="s">
        <v>571</v>
      </c>
      <c r="D66" s="135" t="s">
        <v>580</v>
      </c>
      <c r="E66" s="136" t="s">
        <v>581</v>
      </c>
      <c r="F66" s="136" t="s">
        <v>208</v>
      </c>
      <c r="G66" s="40" t="s">
        <v>574</v>
      </c>
      <c r="H66" s="135"/>
      <c r="I66" s="135"/>
      <c r="J66" s="135"/>
      <c r="K66" s="135"/>
      <c r="L66" s="135"/>
      <c r="M66" s="135"/>
      <c r="N66" s="135"/>
    </row>
  </sheetData>
  <mergeCells count="141">
    <mergeCell ref="B1:N3"/>
    <mergeCell ref="B4:N4"/>
    <mergeCell ref="B6:N6"/>
    <mergeCell ref="B8:N8"/>
    <mergeCell ref="D9:E9"/>
    <mergeCell ref="J9:M9"/>
    <mergeCell ref="D10:E10"/>
    <mergeCell ref="H10:I10"/>
    <mergeCell ref="L10:N10"/>
    <mergeCell ref="D11:E11"/>
    <mergeCell ref="H11:I11"/>
    <mergeCell ref="L11:N11"/>
    <mergeCell ref="D12:E12"/>
    <mergeCell ref="H12:I12"/>
    <mergeCell ref="L12:N12"/>
    <mergeCell ref="D13:E13"/>
    <mergeCell ref="H13:I13"/>
    <mergeCell ref="L13:N13"/>
    <mergeCell ref="D14:E14"/>
    <mergeCell ref="H14:I14"/>
    <mergeCell ref="L14:N14"/>
    <mergeCell ref="D15:E15"/>
    <mergeCell ref="H15:I15"/>
    <mergeCell ref="L15:N15"/>
    <mergeCell ref="D16:E16"/>
    <mergeCell ref="H16:I16"/>
    <mergeCell ref="L16:N16"/>
    <mergeCell ref="D17:E17"/>
    <mergeCell ref="H17:I17"/>
    <mergeCell ref="L17:N17"/>
    <mergeCell ref="D18:E18"/>
    <mergeCell ref="H18:I18"/>
    <mergeCell ref="L18:N18"/>
    <mergeCell ref="D19:E19"/>
    <mergeCell ref="H19:I19"/>
    <mergeCell ref="L19:N19"/>
    <mergeCell ref="D20:E20"/>
    <mergeCell ref="H20:I20"/>
    <mergeCell ref="L20:N20"/>
    <mergeCell ref="D21:E21"/>
    <mergeCell ref="H21:I21"/>
    <mergeCell ref="L21:N21"/>
    <mergeCell ref="D22:E22"/>
    <mergeCell ref="H22:I22"/>
    <mergeCell ref="L22:N22"/>
    <mergeCell ref="D23:E23"/>
    <mergeCell ref="H23:I23"/>
    <mergeCell ref="L23:N23"/>
    <mergeCell ref="B25:N25"/>
    <mergeCell ref="D26:E26"/>
    <mergeCell ref="I26:K26"/>
    <mergeCell ref="L26:N26"/>
    <mergeCell ref="D27:E27"/>
    <mergeCell ref="G27:H27"/>
    <mergeCell ref="I27:K27"/>
    <mergeCell ref="M27:N27"/>
    <mergeCell ref="D28:E28"/>
    <mergeCell ref="G28:H28"/>
    <mergeCell ref="I28:K28"/>
    <mergeCell ref="M28:N28"/>
    <mergeCell ref="D29:E29"/>
    <mergeCell ref="G29:H29"/>
    <mergeCell ref="I29:K29"/>
    <mergeCell ref="M29:N29"/>
    <mergeCell ref="D30:E30"/>
    <mergeCell ref="G30:H30"/>
    <mergeCell ref="I30:K30"/>
    <mergeCell ref="M30:N30"/>
    <mergeCell ref="D31:E31"/>
    <mergeCell ref="G31:H31"/>
    <mergeCell ref="I31:K31"/>
    <mergeCell ref="M31:N31"/>
    <mergeCell ref="D32:E32"/>
    <mergeCell ref="G32:H32"/>
    <mergeCell ref="I32:K32"/>
    <mergeCell ref="M32:N32"/>
    <mergeCell ref="D33:E33"/>
    <mergeCell ref="G33:H33"/>
    <mergeCell ref="I33:K33"/>
    <mergeCell ref="M33:N33"/>
    <mergeCell ref="D34:E34"/>
    <mergeCell ref="G34:H34"/>
    <mergeCell ref="I34:K34"/>
    <mergeCell ref="M34:N34"/>
    <mergeCell ref="D35:E35"/>
    <mergeCell ref="G35:H35"/>
    <mergeCell ref="I35:K35"/>
    <mergeCell ref="M35:N35"/>
    <mergeCell ref="D36:E36"/>
    <mergeCell ref="G36:H36"/>
    <mergeCell ref="I36:K36"/>
    <mergeCell ref="M36:N36"/>
    <mergeCell ref="D37:E37"/>
    <mergeCell ref="G37:H37"/>
    <mergeCell ref="I37:K37"/>
    <mergeCell ref="M37:N37"/>
    <mergeCell ref="D38:E38"/>
    <mergeCell ref="G38:H38"/>
    <mergeCell ref="I38:K38"/>
    <mergeCell ref="M38:N38"/>
    <mergeCell ref="B40:N40"/>
    <mergeCell ref="J41:N41"/>
    <mergeCell ref="D42:E42"/>
    <mergeCell ref="K42:N42"/>
    <mergeCell ref="D43:E43"/>
    <mergeCell ref="K43:N43"/>
    <mergeCell ref="D44:E44"/>
    <mergeCell ref="K44:N44"/>
    <mergeCell ref="D45:E45"/>
    <mergeCell ref="K45:N45"/>
    <mergeCell ref="D46:E46"/>
    <mergeCell ref="K46:N46"/>
    <mergeCell ref="D47:E47"/>
    <mergeCell ref="K47:N47"/>
    <mergeCell ref="D48:E48"/>
    <mergeCell ref="K48:N48"/>
    <mergeCell ref="D49:E49"/>
    <mergeCell ref="K49:N49"/>
    <mergeCell ref="D50:E50"/>
    <mergeCell ref="K50:N50"/>
    <mergeCell ref="D51:E51"/>
    <mergeCell ref="K51:N51"/>
    <mergeCell ref="D52:E52"/>
    <mergeCell ref="K52:N52"/>
    <mergeCell ref="D53:E53"/>
    <mergeCell ref="K53:N53"/>
    <mergeCell ref="D54:E54"/>
    <mergeCell ref="K54:N54"/>
    <mergeCell ref="D55:E55"/>
    <mergeCell ref="K55:N55"/>
    <mergeCell ref="D56:E56"/>
    <mergeCell ref="K56:N56"/>
    <mergeCell ref="B58:N58"/>
    <mergeCell ref="B59:N59"/>
    <mergeCell ref="I60:N60"/>
    <mergeCell ref="H61:N61"/>
    <mergeCell ref="H62:N62"/>
    <mergeCell ref="H63:N63"/>
    <mergeCell ref="H64:N64"/>
    <mergeCell ref="H65:N65"/>
    <mergeCell ref="H66:N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11" style="0" width="14"/>
    <col collapsed="false" customWidth="true" hidden="false" outlineLevel="0" max="15" min="12" style="0" width="10"/>
  </cols>
  <sheetData>
    <row r="1" customFormat="false" ht="15" hidden="false" customHeight="false" outlineLevel="0" collapsed="false">
      <c r="A1" s="1"/>
      <c r="B1" s="52" t="s">
        <v>582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9.5" hidden="false" customHeight="true" outlineLevel="0" collapsed="false">
      <c r="B5" s="25" t="s">
        <v>583</v>
      </c>
      <c r="C5" s="25"/>
      <c r="D5" s="25"/>
      <c r="E5" s="25"/>
      <c r="F5" s="25"/>
      <c r="G5" s="25"/>
      <c r="H5" s="25"/>
      <c r="I5" s="25"/>
      <c r="J5" s="25"/>
    </row>
    <row r="6" customFormat="false" ht="24" hidden="false" customHeight="true" outlineLevel="0" collapsed="false">
      <c r="B6" s="26" t="s">
        <v>584</v>
      </c>
      <c r="C6" s="26" t="s">
        <v>585</v>
      </c>
      <c r="D6" s="26" t="s">
        <v>6</v>
      </c>
      <c r="E6" s="26" t="s">
        <v>7</v>
      </c>
      <c r="F6" s="26" t="s">
        <v>8</v>
      </c>
      <c r="G6" s="26" t="s">
        <v>9</v>
      </c>
      <c r="H6" s="26" t="s">
        <v>15</v>
      </c>
      <c r="K6" s="85" t="s">
        <v>186</v>
      </c>
      <c r="L6" s="85" t="s">
        <v>585</v>
      </c>
      <c r="M6" s="85" t="s">
        <v>202</v>
      </c>
      <c r="N6" s="85" t="s">
        <v>259</v>
      </c>
      <c r="O6" s="85" t="s">
        <v>586</v>
      </c>
    </row>
    <row r="7" customFormat="false" ht="19.5" hidden="false" customHeight="true" outlineLevel="0" collapsed="false">
      <c r="B7" s="30" t="s">
        <v>587</v>
      </c>
      <c r="C7" s="31" t="n">
        <f aca="false">'📋 ST Results'!C7</f>
        <v>42</v>
      </c>
      <c r="D7" s="31" t="n">
        <f aca="false">'📋 ST Results'!D7</f>
        <v>42</v>
      </c>
      <c r="E7" s="31" t="n">
        <f aca="false">'📋 ST Results'!E7</f>
        <v>40</v>
      </c>
      <c r="F7" s="31" t="n">
        <f aca="false">'📋 ST Results'!F7</f>
        <v>1</v>
      </c>
      <c r="G7" s="31" t="n">
        <f aca="false">'📋 ST Results'!G7</f>
        <v>1</v>
      </c>
      <c r="H7" s="31" t="n">
        <f aca="false">'📋 ST Results'!H7</f>
        <v>0</v>
      </c>
      <c r="K7" s="27" t="s">
        <v>227</v>
      </c>
      <c r="L7" s="28" t="n">
        <f aca="false">'🐛 Defect Tracker'!R8</f>
        <v>0</v>
      </c>
      <c r="M7" s="28" t="n">
        <f aca="false">COUNTIFS('🐛 Defect Tracker'!F6:F200,"P1",'🐛 Defect Tracker'!H6:H200,"Closed")</f>
        <v>0</v>
      </c>
      <c r="N7" s="28" t="n">
        <f aca="false">COUNTIFS('🐛 Defect Tracker'!F6:F200,"P1",'🐛 Defect Tracker'!H6:H200,"Open")</f>
        <v>0</v>
      </c>
      <c r="O7" s="28" t="s">
        <v>588</v>
      </c>
    </row>
    <row r="8" customFormat="false" ht="19.5" hidden="false" customHeight="true" outlineLevel="0" collapsed="false">
      <c r="B8" s="27" t="s">
        <v>589</v>
      </c>
      <c r="C8" s="28" t="n">
        <f aca="false">'📋 ST Results'!C14</f>
        <v>48</v>
      </c>
      <c r="D8" s="28" t="n">
        <f aca="false">'📋 ST Results'!D14</f>
        <v>48</v>
      </c>
      <c r="E8" s="28" t="n">
        <f aca="false">'📋 ST Results'!E14</f>
        <v>46</v>
      </c>
      <c r="F8" s="28" t="n">
        <f aca="false">'📋 ST Results'!F14</f>
        <v>2</v>
      </c>
      <c r="G8" s="28" t="n">
        <f aca="false">'📋 ST Results'!G14</f>
        <v>0</v>
      </c>
      <c r="H8" s="28" t="n">
        <f aca="false">'📋 ST Results'!H14</f>
        <v>0</v>
      </c>
      <c r="K8" s="49" t="s">
        <v>235</v>
      </c>
      <c r="L8" s="48" t="n">
        <f aca="false">'🐛 Defect Tracker'!R9</f>
        <v>7</v>
      </c>
      <c r="M8" s="48" t="n">
        <f aca="false">COUNTIFS('🐛 Defect Tracker'!F6:F200,"P2",'🐛 Defect Tracker'!H6:H200,"Closed")</f>
        <v>7</v>
      </c>
      <c r="N8" s="48" t="n">
        <f aca="false">COUNTIFS('🐛 Defect Tracker'!F6:F200,"P2",'🐛 Defect Tracker'!H6:H200,"Open")</f>
        <v>0</v>
      </c>
      <c r="O8" s="48" t="s">
        <v>588</v>
      </c>
    </row>
    <row r="9" customFormat="false" ht="19.5" hidden="false" customHeight="true" outlineLevel="0" collapsed="false">
      <c r="B9" s="30" t="s">
        <v>590</v>
      </c>
      <c r="C9" s="31" t="n">
        <f aca="false">'📋 SIT Results'!C18</f>
        <v>181</v>
      </c>
      <c r="D9" s="31" t="n">
        <f aca="false">'📋 SIT Results'!D18</f>
        <v>181</v>
      </c>
      <c r="E9" s="31" t="n">
        <f aca="false">'📋 SIT Results'!E18</f>
        <v>175</v>
      </c>
      <c r="F9" s="31" t="n">
        <f aca="false">'📋 SIT Results'!F18</f>
        <v>5</v>
      </c>
      <c r="G9" s="31" t="n">
        <f aca="false">'📋 SIT Results'!G18</f>
        <v>1</v>
      </c>
      <c r="H9" s="31" t="n">
        <f aca="false">'📋 SIT Results'!H18</f>
        <v>0</v>
      </c>
      <c r="K9" s="27" t="s">
        <v>242</v>
      </c>
      <c r="L9" s="28" t="n">
        <f aca="false">'🐛 Defect Tracker'!R10</f>
        <v>7</v>
      </c>
      <c r="M9" s="28" t="n">
        <f aca="false">COUNTIFS('🐛 Defect Tracker'!F6:F200,"P3",'🐛 Defect Tracker'!H6:H200,"Closed")</f>
        <v>4</v>
      </c>
      <c r="N9" s="28" t="n">
        <f aca="false">COUNTIFS('🐛 Defect Tracker'!F6:F200,"P3",'🐛 Defect Tracker'!H6:H200,"Open")</f>
        <v>3</v>
      </c>
      <c r="O9" s="28" t="s">
        <v>588</v>
      </c>
    </row>
    <row r="10" customFormat="false" ht="15" hidden="false" customHeight="false" outlineLevel="0" collapsed="false">
      <c r="K10" s="49" t="s">
        <v>249</v>
      </c>
      <c r="L10" s="48" t="n">
        <f aca="false">'🐛 Defect Tracker'!R11</f>
        <v>0</v>
      </c>
      <c r="M10" s="48" t="n">
        <f aca="false">COUNTIFS('🐛 Defect Tracker'!F6:F200,"P4",'🐛 Defect Tracker'!H6:H200,"Closed")</f>
        <v>0</v>
      </c>
      <c r="N10" s="48" t="n">
        <f aca="false">COUNTIFS('🐛 Defect Tracker'!F6:F200,"P4",'🐛 Defect Tracker'!H6:H200,"Open")</f>
        <v>0</v>
      </c>
      <c r="O10" s="48" t="s">
        <v>588</v>
      </c>
    </row>
  </sheetData>
  <mergeCells count="2">
    <mergeCell ref="B1:O3"/>
    <mergeCell ref="B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7" min="5" style="0" width="16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2" min="10" style="0" width="16"/>
    <col collapsed="false" customWidth="true" hidden="false" outlineLevel="0" max="13" min="13" style="0" width="3"/>
  </cols>
  <sheetData>
    <row r="1" customFormat="false" ht="15" hidden="false" customHeight="false" outlineLevel="0" collapsed="false">
      <c r="A1" s="1"/>
      <c r="B1" s="52" t="s">
        <v>591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customFormat="false" ht="15" hidden="false" customHeight="false" outlineLevel="0" collapsed="false">
      <c r="A2" s="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customFormat="false" ht="15" hidden="false" customHeight="false" outlineLevel="0" collapsed="false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customFormat="false" ht="19.5" hidden="false" customHeight="true" outlineLevel="0" collapsed="false">
      <c r="B6" s="25" t="s">
        <v>592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customFormat="false" ht="21.75" hidden="false" customHeight="true" outlineLevel="0" collapsed="false">
      <c r="B7" s="55" t="s">
        <v>593</v>
      </c>
      <c r="C7" s="56" t="s">
        <v>207</v>
      </c>
      <c r="D7" s="56"/>
      <c r="E7" s="56"/>
      <c r="F7" s="56"/>
      <c r="G7" s="56"/>
      <c r="H7" s="56"/>
      <c r="I7" s="56"/>
      <c r="J7" s="56"/>
      <c r="K7" s="56"/>
      <c r="L7" s="56"/>
      <c r="M7" s="56"/>
    </row>
    <row r="8" customFormat="false" ht="21.75" hidden="false" customHeight="true" outlineLevel="0" collapsed="false">
      <c r="B8" s="34" t="s">
        <v>594</v>
      </c>
      <c r="C8" s="73" t="s">
        <v>80</v>
      </c>
      <c r="D8" s="73"/>
      <c r="E8" s="73"/>
      <c r="F8" s="73"/>
      <c r="G8" s="73"/>
      <c r="H8" s="73"/>
      <c r="I8" s="73"/>
      <c r="J8" s="73"/>
      <c r="K8" s="73"/>
      <c r="L8" s="73"/>
      <c r="M8" s="73"/>
    </row>
    <row r="9" customFormat="false" ht="21.75" hidden="false" customHeight="true" outlineLevel="0" collapsed="false">
      <c r="B9" s="55" t="s">
        <v>595</v>
      </c>
      <c r="C9" s="56" t="s">
        <v>596</v>
      </c>
      <c r="D9" s="56"/>
      <c r="E9" s="56"/>
      <c r="F9" s="56"/>
      <c r="G9" s="56"/>
      <c r="H9" s="56"/>
      <c r="I9" s="56"/>
      <c r="J9" s="56"/>
      <c r="K9" s="56"/>
      <c r="L9" s="56"/>
      <c r="M9" s="56"/>
    </row>
    <row r="10" customFormat="false" ht="21.75" hidden="false" customHeight="true" outlineLevel="0" collapsed="false">
      <c r="B10" s="34" t="s">
        <v>597</v>
      </c>
      <c r="C10" s="73" t="s">
        <v>598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</row>
    <row r="11" customFormat="false" ht="21.75" hidden="false" customHeight="true" outlineLevel="0" collapsed="false">
      <c r="B11" s="55" t="s">
        <v>599</v>
      </c>
      <c r="C11" s="56" t="s">
        <v>600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customFormat="false" ht="21.75" hidden="false" customHeight="true" outlineLevel="0" collapsed="false">
      <c r="B12" s="34" t="s">
        <v>601</v>
      </c>
      <c r="C12" s="73" t="s">
        <v>602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</row>
    <row r="14" customFormat="false" ht="19.5" hidden="false" customHeight="true" outlineLevel="0" collapsed="false">
      <c r="B14" s="61" t="s">
        <v>603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</row>
    <row r="15" customFormat="false" ht="21.75" hidden="false" customHeight="true" outlineLevel="0" collapsed="false">
      <c r="B15" s="55" t="s">
        <v>604</v>
      </c>
      <c r="C15" s="56" t="s">
        <v>605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customFormat="false" ht="21.75" hidden="false" customHeight="true" outlineLevel="0" collapsed="false">
      <c r="B16" s="34" t="s">
        <v>606</v>
      </c>
      <c r="C16" s="73" t="s">
        <v>607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</row>
    <row r="17" customFormat="false" ht="21.75" hidden="false" customHeight="true" outlineLevel="0" collapsed="false">
      <c r="B17" s="55" t="s">
        <v>608</v>
      </c>
      <c r="C17" s="56" t="s">
        <v>609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customFormat="false" ht="21.75" hidden="false" customHeight="true" outlineLevel="0" collapsed="false">
      <c r="B18" s="34" t="s">
        <v>610</v>
      </c>
      <c r="C18" s="73" t="s">
        <v>611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</row>
    <row r="19" customFormat="false" ht="21.75" hidden="false" customHeight="true" outlineLevel="0" collapsed="false">
      <c r="B19" s="55" t="s">
        <v>612</v>
      </c>
      <c r="C19" s="56" t="s">
        <v>613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customFormat="false" ht="21.75" hidden="false" customHeight="true" outlineLevel="0" collapsed="false">
      <c r="B20" s="34" t="s">
        <v>614</v>
      </c>
      <c r="C20" s="73" t="s">
        <v>615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</row>
    <row r="22" customFormat="false" ht="19.5" hidden="false" customHeight="true" outlineLevel="0" collapsed="false">
      <c r="B22" s="66" t="s">
        <v>616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</row>
    <row r="23" customFormat="false" ht="21.75" hidden="false" customHeight="true" outlineLevel="0" collapsed="false">
      <c r="B23" s="55" t="s">
        <v>617</v>
      </c>
      <c r="C23" s="56" t="s">
        <v>618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customFormat="false" ht="21.75" hidden="false" customHeight="true" outlineLevel="0" collapsed="false">
      <c r="B24" s="34" t="s">
        <v>619</v>
      </c>
      <c r="C24" s="73" t="s">
        <v>620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</row>
    <row r="25" customFormat="false" ht="21.75" hidden="false" customHeight="true" outlineLevel="0" collapsed="false">
      <c r="B25" s="55" t="s">
        <v>621</v>
      </c>
      <c r="C25" s="56" t="s">
        <v>622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customFormat="false" ht="21.75" hidden="false" customHeight="true" outlineLevel="0" collapsed="false">
      <c r="B26" s="34" t="s">
        <v>623</v>
      </c>
      <c r="C26" s="73" t="s">
        <v>624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7" customFormat="false" ht="21.75" hidden="false" customHeight="true" outlineLevel="0" collapsed="false">
      <c r="B27" s="55" t="s">
        <v>625</v>
      </c>
      <c r="C27" s="56" t="s">
        <v>626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9" customFormat="false" ht="19.5" hidden="false" customHeight="true" outlineLevel="0" collapsed="false">
      <c r="B29" s="137" t="s">
        <v>627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</row>
    <row r="30" customFormat="false" ht="21.75" hidden="false" customHeight="true" outlineLevel="0" collapsed="false">
      <c r="B30" s="55" t="s">
        <v>628</v>
      </c>
      <c r="C30" s="56" t="s">
        <v>629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customFormat="false" ht="21.75" hidden="false" customHeight="true" outlineLevel="0" collapsed="false">
      <c r="B31" s="34" t="s">
        <v>630</v>
      </c>
      <c r="C31" s="73" t="s">
        <v>631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</row>
    <row r="32" customFormat="false" ht="21.75" hidden="false" customHeight="true" outlineLevel="0" collapsed="false">
      <c r="B32" s="55" t="s">
        <v>632</v>
      </c>
      <c r="C32" s="56" t="s">
        <v>633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</row>
    <row r="33" customFormat="false" ht="21.75" hidden="false" customHeight="true" outlineLevel="0" collapsed="false">
      <c r="B33" s="34" t="s">
        <v>634</v>
      </c>
      <c r="C33" s="73" t="s">
        <v>635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</row>
    <row r="34" customFormat="false" ht="21.75" hidden="false" customHeight="true" outlineLevel="0" collapsed="false">
      <c r="B34" s="55" t="s">
        <v>636</v>
      </c>
      <c r="C34" s="56" t="s">
        <v>637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</row>
  </sheetData>
  <mergeCells count="27">
    <mergeCell ref="B1:M3"/>
    <mergeCell ref="B6:M6"/>
    <mergeCell ref="C7:M7"/>
    <mergeCell ref="C8:M8"/>
    <mergeCell ref="C9:M9"/>
    <mergeCell ref="C10:M10"/>
    <mergeCell ref="C11:M11"/>
    <mergeCell ref="C12:M12"/>
    <mergeCell ref="B14:M14"/>
    <mergeCell ref="C15:M15"/>
    <mergeCell ref="C16:M16"/>
    <mergeCell ref="C17:M17"/>
    <mergeCell ref="C18:M18"/>
    <mergeCell ref="C19:M19"/>
    <mergeCell ref="C20:M20"/>
    <mergeCell ref="B22:M22"/>
    <mergeCell ref="C23:M23"/>
    <mergeCell ref="C24:M24"/>
    <mergeCell ref="C25:M25"/>
    <mergeCell ref="C26:M26"/>
    <mergeCell ref="C27:M27"/>
    <mergeCell ref="B29:M29"/>
    <mergeCell ref="C30:M30"/>
    <mergeCell ref="C31:M31"/>
    <mergeCell ref="C32:M32"/>
    <mergeCell ref="C33:M33"/>
    <mergeCell ref="C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2026-05-07T09:57:55Z</dcterms:created>
  <dc:creator>openpyxl</dc:creator>
  <dc:description/>
  <dc:language>en-US</dc:language>
  <cp:lastModifiedBy/>
  <dcterms:modified xsi:type="dcterms:W3CDTF">2026-05-07T09:57:58Z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